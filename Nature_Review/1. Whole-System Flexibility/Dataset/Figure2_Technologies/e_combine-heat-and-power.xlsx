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q315_ic_ac_uk/Documents/Nature_Review/1. Whole-System Flexibility/Dataset/Figure2_Technologies/"/>
    </mc:Choice>
  </mc:AlternateContent>
  <xr:revisionPtr revIDLastSave="142" documentId="11_AD4DA82427541F7ACA7EB8AC284A1A7E6AE8DE12" xr6:coauthVersionLast="47" xr6:coauthVersionMax="47" xr10:uidLastSave="{D4BD6218-092A-4C2D-87E9-D611C850735B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2" i="1"/>
  <c r="C3" i="1"/>
  <c r="C4" i="1"/>
  <c r="C5" i="1"/>
  <c r="C6" i="1"/>
  <c r="C7" i="1"/>
  <c r="C8" i="1"/>
  <c r="C9" i="1"/>
  <c r="C10" i="1"/>
  <c r="C11" i="1"/>
  <c r="C12" i="1"/>
  <c r="C13" i="1"/>
  <c r="C2" i="1"/>
  <c r="J3" i="1"/>
  <c r="J4" i="1"/>
  <c r="J5" i="1"/>
  <c r="J6" i="1"/>
  <c r="J7" i="1"/>
  <c r="J8" i="1"/>
  <c r="J9" i="1"/>
  <c r="J10" i="1"/>
  <c r="J11" i="1"/>
  <c r="J12" i="1"/>
  <c r="J13" i="1"/>
  <c r="J2" i="1"/>
</calcChain>
</file>

<file path=xl/sharedStrings.xml><?xml version="1.0" encoding="utf-8"?>
<sst xmlns="http://schemas.openxmlformats.org/spreadsheetml/2006/main" count="7" uniqueCount="5">
  <si>
    <t>Month</t>
  </si>
  <si>
    <t>Load</t>
  </si>
  <si>
    <t>Peak</t>
  </si>
  <si>
    <t>Base</t>
  </si>
  <si>
    <t>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</si>
</sst>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Elec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Sheet1!$C$2:$C$13</c:f>
              <c:numCache>
                <c:formatCode>General</c:formatCode>
                <c:ptCount val="12"/>
                <c:pt idx="0">
                  <c:v>-26.25</c:v>
                </c:pt>
                <c:pt idx="1">
                  <c:v>-26.25</c:v>
                </c:pt>
                <c:pt idx="2">
                  <c:v>-26.25</c:v>
                </c:pt>
                <c:pt idx="3">
                  <c:v>-26.25</c:v>
                </c:pt>
                <c:pt idx="4">
                  <c:v>-26.25</c:v>
                </c:pt>
                <c:pt idx="5">
                  <c:v>-24.75</c:v>
                </c:pt>
                <c:pt idx="6">
                  <c:v>-22.5</c:v>
                </c:pt>
                <c:pt idx="7">
                  <c:v>-21</c:v>
                </c:pt>
                <c:pt idx="8">
                  <c:v>-20.25</c:v>
                </c:pt>
                <c:pt idx="9">
                  <c:v>-18.75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EB-408C-A2F7-7F88F5A02D4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Sheet1!$D$2:$D$13</c:f>
              <c:numCache>
                <c:formatCode>General</c:formatCode>
                <c:ptCount val="12"/>
                <c:pt idx="0">
                  <c:v>26.25</c:v>
                </c:pt>
                <c:pt idx="1">
                  <c:v>26.25</c:v>
                </c:pt>
                <c:pt idx="2">
                  <c:v>26.25</c:v>
                </c:pt>
                <c:pt idx="3">
                  <c:v>26.25</c:v>
                </c:pt>
                <c:pt idx="4">
                  <c:v>26.25</c:v>
                </c:pt>
                <c:pt idx="5">
                  <c:v>24.75</c:v>
                </c:pt>
                <c:pt idx="6">
                  <c:v>22.5</c:v>
                </c:pt>
                <c:pt idx="7">
                  <c:v>21</c:v>
                </c:pt>
                <c:pt idx="8">
                  <c:v>20.25</c:v>
                </c:pt>
                <c:pt idx="9">
                  <c:v>18.75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EB-408C-A2F7-7F88F5A02D49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Sheet1!$E$2:$E$13</c:f>
              <c:numCache>
                <c:formatCode>General</c:formatCode>
                <c:ptCount val="12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33</c:v>
                </c:pt>
                <c:pt idx="6">
                  <c:v>30</c:v>
                </c:pt>
                <c:pt idx="7">
                  <c:v>28</c:v>
                </c:pt>
                <c:pt idx="8">
                  <c:v>27</c:v>
                </c:pt>
                <c:pt idx="9">
                  <c:v>25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EB-408C-A2F7-7F88F5A02D49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Peak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val>
            <c:numRef>
              <c:f>Sheet1!$F$2:$F$13</c:f>
              <c:numCache>
                <c:formatCode>General</c:formatCode>
                <c:ptCount val="12"/>
                <c:pt idx="0">
                  <c:v>25</c:v>
                </c:pt>
                <c:pt idx="1">
                  <c:v>15</c:v>
                </c:pt>
                <c:pt idx="2">
                  <c:v>9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EB-408C-A2F7-7F88F5A02D49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Peak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val>
            <c:numRef>
              <c:f>Sheet1!$G$2:$G$13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22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EB-408C-A2F7-7F88F5A02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241119"/>
        <c:axId val="909247839"/>
      </c:areaChar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Load</c:v>
                </c:pt>
              </c:strCache>
            </c:strRef>
          </c:tx>
          <c:spPr>
            <a:ln w="63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val>
            <c:numRef>
              <c:f>Sheet1!$B$2:$B$13</c:f>
              <c:numCache>
                <c:formatCode>General</c:formatCode>
                <c:ptCount val="12"/>
                <c:pt idx="0">
                  <c:v>60</c:v>
                </c:pt>
                <c:pt idx="1">
                  <c:v>50</c:v>
                </c:pt>
                <c:pt idx="2">
                  <c:v>44</c:v>
                </c:pt>
                <c:pt idx="3">
                  <c:v>40</c:v>
                </c:pt>
                <c:pt idx="4">
                  <c:v>36</c:v>
                </c:pt>
                <c:pt idx="5">
                  <c:v>33</c:v>
                </c:pt>
                <c:pt idx="6">
                  <c:v>30</c:v>
                </c:pt>
                <c:pt idx="7">
                  <c:v>28</c:v>
                </c:pt>
                <c:pt idx="8">
                  <c:v>27</c:v>
                </c:pt>
                <c:pt idx="9">
                  <c:v>25</c:v>
                </c:pt>
                <c:pt idx="10">
                  <c:v>22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B-408C-A2F7-7F88F5A02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9241119"/>
        <c:axId val="909247839"/>
      </c:lineChart>
      <c:catAx>
        <c:axId val="909241119"/>
        <c:scaling>
          <c:orientation val="minMax"/>
        </c:scaling>
        <c:delete val="1"/>
        <c:axPos val="b"/>
        <c:majorTickMark val="out"/>
        <c:minorTickMark val="none"/>
        <c:tickLblPos val="nextTo"/>
        <c:crossAx val="909247839"/>
        <c:crosses val="autoZero"/>
        <c:auto val="1"/>
        <c:lblAlgn val="ctr"/>
        <c:lblOffset val="100"/>
        <c:noMultiLvlLbl val="0"/>
      </c:catAx>
      <c:valAx>
        <c:axId val="909247839"/>
        <c:scaling>
          <c:orientation val="minMax"/>
          <c:max val="60"/>
          <c:min val="-27"/>
        </c:scaling>
        <c:delete val="1"/>
        <c:axPos val="l"/>
        <c:numFmt formatCode="General" sourceLinked="1"/>
        <c:majorTickMark val="none"/>
        <c:minorTickMark val="none"/>
        <c:tickLblPos val="nextTo"/>
        <c:crossAx val="909241119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552450</xdr:colOff>
      <xdr:row>2</xdr:row>
      <xdr:rowOff>61912</xdr:rowOff>
    </xdr:from>
    <xdr:to>
      <xdr:col>19</xdr:col>
      <xdr:colOff>247650</xdr:colOff>
      <xdr:row>16</xdr:row>
      <xdr:rowOff>138112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28A0F4E7-98FB-B82F-35AD-C3F707D04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Q21" sqref="Q2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4</v>
      </c>
      <c r="D1" t="s">
        <v>4</v>
      </c>
      <c r="E1" t="s">
        <v>3</v>
      </c>
      <c r="F1" t="s">
        <v>2</v>
      </c>
      <c r="G1" t="s">
        <v>2</v>
      </c>
    </row>
    <row r="2" spans="1:10" x14ac:dyDescent="0.25">
      <c r="A2" s="1">
        <v>1</v>
      </c>
      <c r="B2" s="1">
        <v>60</v>
      </c>
      <c r="C2" s="1">
        <f>-E2*0.75</f>
        <v>-26.25</v>
      </c>
      <c r="D2" s="1">
        <f>-C2</f>
        <v>26.25</v>
      </c>
      <c r="E2">
        <v>35</v>
      </c>
      <c r="F2">
        <v>25</v>
      </c>
      <c r="G2">
        <v>0</v>
      </c>
      <c r="I2">
        <v>35</v>
      </c>
      <c r="J2">
        <f>B2-I2</f>
        <v>25</v>
      </c>
    </row>
    <row r="3" spans="1:10" x14ac:dyDescent="0.25">
      <c r="A3" s="1">
        <v>2</v>
      </c>
      <c r="B3" s="1">
        <v>50</v>
      </c>
      <c r="C3" s="1">
        <f t="shared" ref="C3:C13" si="0">-E3*0.75</f>
        <v>-26.25</v>
      </c>
      <c r="D3" s="1">
        <f t="shared" ref="D3:D13" si="1">-C3</f>
        <v>26.25</v>
      </c>
      <c r="E3">
        <v>35</v>
      </c>
      <c r="F3">
        <v>15</v>
      </c>
      <c r="G3">
        <v>0</v>
      </c>
      <c r="I3">
        <v>35</v>
      </c>
      <c r="J3">
        <f>B3-I3</f>
        <v>15</v>
      </c>
    </row>
    <row r="4" spans="1:10" x14ac:dyDescent="0.25">
      <c r="A4" s="1">
        <v>3</v>
      </c>
      <c r="B4" s="1">
        <v>44</v>
      </c>
      <c r="C4" s="1">
        <f t="shared" si="0"/>
        <v>-26.25</v>
      </c>
      <c r="D4" s="1">
        <f t="shared" si="1"/>
        <v>26.25</v>
      </c>
      <c r="E4">
        <v>35</v>
      </c>
      <c r="F4">
        <v>9</v>
      </c>
      <c r="G4">
        <v>0</v>
      </c>
      <c r="I4">
        <v>35</v>
      </c>
      <c r="J4">
        <f>B4-I4</f>
        <v>9</v>
      </c>
    </row>
    <row r="5" spans="1:10" x14ac:dyDescent="0.25">
      <c r="A5" s="1">
        <v>4</v>
      </c>
      <c r="B5" s="1">
        <v>40</v>
      </c>
      <c r="C5" s="1">
        <f t="shared" si="0"/>
        <v>-26.25</v>
      </c>
      <c r="D5" s="1">
        <f t="shared" si="1"/>
        <v>26.25</v>
      </c>
      <c r="E5">
        <v>35</v>
      </c>
      <c r="F5">
        <v>5</v>
      </c>
      <c r="G5">
        <v>0</v>
      </c>
      <c r="I5">
        <v>35</v>
      </c>
      <c r="J5">
        <f>B5-I5</f>
        <v>5</v>
      </c>
    </row>
    <row r="6" spans="1:10" x14ac:dyDescent="0.25">
      <c r="A6" s="1">
        <v>5</v>
      </c>
      <c r="B6" s="1">
        <v>36</v>
      </c>
      <c r="C6" s="1">
        <f t="shared" si="0"/>
        <v>-26.25</v>
      </c>
      <c r="D6" s="1">
        <f t="shared" si="1"/>
        <v>26.25</v>
      </c>
      <c r="E6" s="1">
        <v>35</v>
      </c>
      <c r="F6">
        <v>1</v>
      </c>
      <c r="G6" s="1">
        <v>0</v>
      </c>
      <c r="H6" s="1"/>
      <c r="I6">
        <v>35</v>
      </c>
      <c r="J6">
        <f>B6-I6</f>
        <v>1</v>
      </c>
    </row>
    <row r="7" spans="1:10" x14ac:dyDescent="0.25">
      <c r="A7" s="1">
        <v>6</v>
      </c>
      <c r="B7" s="1">
        <v>33</v>
      </c>
      <c r="C7" s="1">
        <f t="shared" si="0"/>
        <v>-24.75</v>
      </c>
      <c r="D7" s="1">
        <f t="shared" si="1"/>
        <v>24.75</v>
      </c>
      <c r="E7" s="1">
        <v>33</v>
      </c>
      <c r="F7">
        <v>0</v>
      </c>
      <c r="G7" s="1">
        <v>0</v>
      </c>
      <c r="H7" s="1"/>
      <c r="I7">
        <v>35</v>
      </c>
      <c r="J7">
        <f>B7-I7</f>
        <v>-2</v>
      </c>
    </row>
    <row r="8" spans="1:10" x14ac:dyDescent="0.25">
      <c r="A8" s="1">
        <v>7</v>
      </c>
      <c r="B8" s="1">
        <v>30</v>
      </c>
      <c r="C8" s="1">
        <f t="shared" si="0"/>
        <v>-22.5</v>
      </c>
      <c r="D8" s="1">
        <f t="shared" si="1"/>
        <v>22.5</v>
      </c>
      <c r="E8" s="1">
        <v>30</v>
      </c>
      <c r="F8">
        <v>0</v>
      </c>
      <c r="G8" s="1">
        <v>0</v>
      </c>
      <c r="H8" s="1"/>
      <c r="I8">
        <v>35</v>
      </c>
      <c r="J8">
        <f>B8-I8</f>
        <v>-5</v>
      </c>
    </row>
    <row r="9" spans="1:10" x14ac:dyDescent="0.25">
      <c r="A9" s="1">
        <v>8</v>
      </c>
      <c r="B9" s="1">
        <v>28</v>
      </c>
      <c r="C9" s="1">
        <f t="shared" si="0"/>
        <v>-21</v>
      </c>
      <c r="D9" s="1">
        <f t="shared" si="1"/>
        <v>21</v>
      </c>
      <c r="E9" s="1">
        <v>28</v>
      </c>
      <c r="F9">
        <v>0</v>
      </c>
      <c r="G9" s="1">
        <v>0</v>
      </c>
      <c r="H9" s="1"/>
      <c r="I9">
        <v>35</v>
      </c>
      <c r="J9">
        <f>B9-I9</f>
        <v>-7</v>
      </c>
    </row>
    <row r="10" spans="1:10" x14ac:dyDescent="0.25">
      <c r="A10" s="1">
        <v>9</v>
      </c>
      <c r="B10" s="1">
        <v>27</v>
      </c>
      <c r="C10" s="1">
        <f t="shared" si="0"/>
        <v>-20.25</v>
      </c>
      <c r="D10" s="1">
        <f t="shared" si="1"/>
        <v>20.25</v>
      </c>
      <c r="E10" s="1">
        <v>27</v>
      </c>
      <c r="F10">
        <v>0</v>
      </c>
      <c r="G10" s="1">
        <v>0</v>
      </c>
      <c r="H10" s="1"/>
      <c r="I10">
        <v>35</v>
      </c>
      <c r="J10">
        <f>B10-I10</f>
        <v>-8</v>
      </c>
    </row>
    <row r="11" spans="1:10" x14ac:dyDescent="0.25">
      <c r="A11" s="1">
        <v>10</v>
      </c>
      <c r="B11" s="1">
        <v>25</v>
      </c>
      <c r="C11" s="1">
        <f t="shared" si="0"/>
        <v>-18.75</v>
      </c>
      <c r="D11" s="1">
        <f t="shared" si="1"/>
        <v>18.75</v>
      </c>
      <c r="E11" s="1">
        <v>25</v>
      </c>
      <c r="F11">
        <v>0</v>
      </c>
      <c r="G11" s="1">
        <v>0</v>
      </c>
      <c r="H11" s="1"/>
      <c r="I11">
        <v>35</v>
      </c>
      <c r="J11">
        <f>B11-I11</f>
        <v>-10</v>
      </c>
    </row>
    <row r="12" spans="1:10" x14ac:dyDescent="0.25">
      <c r="A12" s="1">
        <v>11</v>
      </c>
      <c r="B12" s="1">
        <v>22</v>
      </c>
      <c r="C12" s="1">
        <f t="shared" si="0"/>
        <v>0</v>
      </c>
      <c r="D12" s="1">
        <f t="shared" si="1"/>
        <v>0</v>
      </c>
      <c r="E12" s="1">
        <v>0</v>
      </c>
      <c r="F12">
        <v>0</v>
      </c>
      <c r="G12" s="1">
        <v>22</v>
      </c>
      <c r="H12" s="1"/>
      <c r="I12">
        <v>35</v>
      </c>
      <c r="J12">
        <f>B12-I12</f>
        <v>-13</v>
      </c>
    </row>
    <row r="13" spans="1:10" x14ac:dyDescent="0.25">
      <c r="A13" s="1">
        <v>12</v>
      </c>
      <c r="B13" s="1">
        <v>16</v>
      </c>
      <c r="C13" s="1">
        <f t="shared" si="0"/>
        <v>0</v>
      </c>
      <c r="D13" s="1">
        <f t="shared" si="1"/>
        <v>0</v>
      </c>
      <c r="E13" s="1">
        <v>0</v>
      </c>
      <c r="F13">
        <v>0</v>
      </c>
      <c r="G13" s="1">
        <v>16</v>
      </c>
      <c r="H13" s="1"/>
      <c r="I13">
        <v>35</v>
      </c>
      <c r="J13">
        <f>B13-I13</f>
        <v>-19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Dawei Qiu</dc:creator>
  <cp:lastModifiedBy>Dawei Qiu</cp:lastModifiedBy>
  <dcterms:created xsi:type="dcterms:W3CDTF">2015-06-05T18:19:34Z</dcterms:created>
  <dcterms:modified xsi:type="dcterms:W3CDTF">2025-07-31T13:16:05Z</dcterms:modified>
</cp:coreProperties>
</file>