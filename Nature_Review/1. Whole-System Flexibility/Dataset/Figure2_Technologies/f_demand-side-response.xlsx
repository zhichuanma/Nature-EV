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q315_ic_ac_uk/Documents/Nature_Review/1. Whole-System Flexibility/Dataset/Figure2_Technologies/"/>
    </mc:Choice>
  </mc:AlternateContent>
  <xr:revisionPtr revIDLastSave="360" documentId="11_AD4DA82427541F7ACA7EB8AC284A1A7E6AE8DE12" xr6:coauthVersionLast="47" xr6:coauthVersionMax="47" xr10:uidLastSave="{B93B50EB-B8F1-45DF-9064-7866591FEC57}"/>
  <bookViews>
    <workbookView xWindow="-16320" yWindow="-6765" windowWidth="16440" windowHeight="2844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24" i="2"/>
  <c r="I25" i="2"/>
  <c r="I2" i="2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3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<sst xmlns="http://schemas.openxmlformats.org/spreadsheetml/2006/main" count="86" uniqueCount="56">
  <si>
    <t>DATETIME</t>
  </si>
  <si>
    <t>Demand</t>
  </si>
  <si>
    <t>2021-12-14T07:00:00</t>
  </si>
  <si>
    <t>2021-12-14T07:30:00</t>
  </si>
  <si>
    <t>2021-12-14T08:00:00</t>
  </si>
  <si>
    <t>2021-12-14T08:30:00</t>
  </si>
  <si>
    <t>2021-12-14T09:00:00</t>
  </si>
  <si>
    <t>2021-12-14T09:30:00</t>
  </si>
  <si>
    <t>2021-12-14T10:00:00</t>
  </si>
  <si>
    <t>2021-12-14T10:30:00</t>
  </si>
  <si>
    <t>2021-12-14T11:00:00</t>
  </si>
  <si>
    <t>2021-12-14T11:30:00</t>
  </si>
  <si>
    <t>2021-12-14T12:00:00</t>
  </si>
  <si>
    <t>2021-12-14T12:30:00</t>
  </si>
  <si>
    <t>2021-12-14T13:00:00</t>
  </si>
  <si>
    <t>2021-12-14T13:30:00</t>
  </si>
  <si>
    <t>2021-12-14T14:00:00</t>
  </si>
  <si>
    <t>2021-12-14T14:30:00</t>
  </si>
  <si>
    <t>2021-12-14T15:00:00</t>
  </si>
  <si>
    <t>2021-12-14T15:30:00</t>
  </si>
  <si>
    <t>2021-12-14T16:00:00</t>
  </si>
  <si>
    <t>2021-12-14T16:30:00</t>
  </si>
  <si>
    <t>2021-12-14T17:00:00</t>
  </si>
  <si>
    <t>2021-12-14T17:30:00</t>
  </si>
  <si>
    <t>2021-12-14T18:00:00</t>
  </si>
  <si>
    <t>2021-12-14T18:30:00</t>
  </si>
  <si>
    <t>2021-12-14T19:00:00</t>
  </si>
  <si>
    <t>2021-12-14T19:30:00</t>
  </si>
  <si>
    <t>2021-12-14T20:00:00</t>
  </si>
  <si>
    <t>2021-12-14T20:30:00</t>
  </si>
  <si>
    <t>2021-12-14T21:00:00</t>
  </si>
  <si>
    <t>2021-12-14T21:30:00</t>
  </si>
  <si>
    <t>2021-12-14T22:00:00</t>
  </si>
  <si>
    <t>2021-12-14T22:30:00</t>
  </si>
  <si>
    <t>2021-12-14T23:00:00</t>
  </si>
  <si>
    <t>2021-12-14T23:30:00</t>
  </si>
  <si>
    <t>2021-12-15T00:00:00</t>
  </si>
  <si>
    <t>2021-12-15T00:30:00</t>
  </si>
  <si>
    <t>2021-12-15T01:00:00</t>
  </si>
  <si>
    <t>2021-12-15T01:30:00</t>
  </si>
  <si>
    <t>2021-12-15T02:00:00</t>
  </si>
  <si>
    <t>2021-12-15T02:30:00</t>
  </si>
  <si>
    <t>2021-12-15T03:00:00</t>
  </si>
  <si>
    <t>2021-12-15T03:30:00</t>
  </si>
  <si>
    <t>2021-12-15T04:00:00</t>
  </si>
  <si>
    <t>2021-12-15T04:30:00</t>
  </si>
  <si>
    <t>2021-12-15T05:00:00</t>
  </si>
  <si>
    <t>2021-12-15T05:30:00</t>
  </si>
  <si>
    <t>2021-12-15T06:00:00</t>
  </si>
  <si>
    <t>2021-12-15T06:30:00</t>
  </si>
  <si>
    <t>Solar</t>
  </si>
  <si>
    <t>Charge</t>
  </si>
  <si>
    <t>V2G</t>
  </si>
  <si>
    <t>Solar_left</t>
  </si>
  <si>
    <t>Others</t>
  </si>
  <si>
    <t>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</si>
</sst>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9" fontId="0" fillId="2" borderId="0" xfId="1" applyFont="1" applyFill="1"/>
    <xf numFmtId="9" fontId="0" fillId="0" borderId="0" xfId="0" applyNumberForma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Sheet1!$E$2:$E$49</c:f>
              <c:numCache>
                <c:formatCode>General</c:formatCode>
                <c:ptCount val="48"/>
                <c:pt idx="0">
                  <c:v>33444</c:v>
                </c:pt>
                <c:pt idx="1">
                  <c:v>35490</c:v>
                </c:pt>
                <c:pt idx="2">
                  <c:v>35794</c:v>
                </c:pt>
                <c:pt idx="3">
                  <c:v>33698</c:v>
                </c:pt>
                <c:pt idx="4">
                  <c:v>29487</c:v>
                </c:pt>
                <c:pt idx="5">
                  <c:v>25044</c:v>
                </c:pt>
                <c:pt idx="6">
                  <c:v>21431</c:v>
                </c:pt>
                <c:pt idx="7">
                  <c:v>19228</c:v>
                </c:pt>
                <c:pt idx="8">
                  <c:v>20144</c:v>
                </c:pt>
                <c:pt idx="9">
                  <c:v>22037</c:v>
                </c:pt>
                <c:pt idx="10">
                  <c:v>25924</c:v>
                </c:pt>
                <c:pt idx="11">
                  <c:v>30327</c:v>
                </c:pt>
                <c:pt idx="12">
                  <c:v>33310</c:v>
                </c:pt>
                <c:pt idx="13">
                  <c:v>35877</c:v>
                </c:pt>
                <c:pt idx="14">
                  <c:v>36947</c:v>
                </c:pt>
                <c:pt idx="15">
                  <c:v>36940</c:v>
                </c:pt>
                <c:pt idx="16">
                  <c:v>37215</c:v>
                </c:pt>
                <c:pt idx="17">
                  <c:v>38410</c:v>
                </c:pt>
                <c:pt idx="18">
                  <c:v>40084</c:v>
                </c:pt>
                <c:pt idx="19">
                  <c:v>41357</c:v>
                </c:pt>
                <c:pt idx="20">
                  <c:v>41878</c:v>
                </c:pt>
                <c:pt idx="21">
                  <c:v>41748</c:v>
                </c:pt>
                <c:pt idx="22">
                  <c:v>41066</c:v>
                </c:pt>
                <c:pt idx="23">
                  <c:v>40112</c:v>
                </c:pt>
                <c:pt idx="24">
                  <c:v>38949</c:v>
                </c:pt>
                <c:pt idx="25">
                  <c:v>37742</c:v>
                </c:pt>
                <c:pt idx="26">
                  <c:v>36324</c:v>
                </c:pt>
                <c:pt idx="27">
                  <c:v>34866</c:v>
                </c:pt>
                <c:pt idx="28">
                  <c:v>33111</c:v>
                </c:pt>
                <c:pt idx="29">
                  <c:v>31267</c:v>
                </c:pt>
                <c:pt idx="30">
                  <c:v>29333</c:v>
                </c:pt>
                <c:pt idx="31">
                  <c:v>27577</c:v>
                </c:pt>
                <c:pt idx="32">
                  <c:v>25717</c:v>
                </c:pt>
                <c:pt idx="33">
                  <c:v>24400</c:v>
                </c:pt>
                <c:pt idx="34">
                  <c:v>24182</c:v>
                </c:pt>
                <c:pt idx="35">
                  <c:v>24578</c:v>
                </c:pt>
                <c:pt idx="36">
                  <c:v>24179</c:v>
                </c:pt>
                <c:pt idx="37">
                  <c:v>23435</c:v>
                </c:pt>
                <c:pt idx="38">
                  <c:v>22804</c:v>
                </c:pt>
                <c:pt idx="39">
                  <c:v>22427</c:v>
                </c:pt>
                <c:pt idx="40">
                  <c:v>22168</c:v>
                </c:pt>
                <c:pt idx="41">
                  <c:v>21804</c:v>
                </c:pt>
                <c:pt idx="42">
                  <c:v>21687</c:v>
                </c:pt>
                <c:pt idx="43">
                  <c:v>21938</c:v>
                </c:pt>
                <c:pt idx="44">
                  <c:v>22494</c:v>
                </c:pt>
                <c:pt idx="45">
                  <c:v>23728</c:v>
                </c:pt>
                <c:pt idx="46">
                  <c:v>26515</c:v>
                </c:pt>
                <c:pt idx="47">
                  <c:v>29292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EC-4563-907B-F96B8C9D5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9962863"/>
        <c:axId val="659963343"/>
      </c:lineChart>
      <c:catAx>
        <c:axId val="6599628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963343"/>
        <c:crosses val="autoZero"/>
        <c:auto val="1"/>
        <c:lblAlgn val="ctr"/>
        <c:lblOffset val="100"/>
        <c:noMultiLvlLbl val="0"/>
      </c:catAx>
      <c:valAx>
        <c:axId val="65996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962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Sheet2!$H$1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Sheet2!$H$2:$H$25</c:f>
              <c:numCache>
                <c:formatCode>0%</c:formatCode>
                <c:ptCount val="24"/>
                <c:pt idx="0">
                  <c:v>0.74431301269939976</c:v>
                </c:pt>
                <c:pt idx="1">
                  <c:v>0.66315356468084086</c:v>
                </c:pt>
                <c:pt idx="2">
                  <c:v>0.52381795135484177</c:v>
                </c:pt>
                <c:pt idx="3">
                  <c:v>0.34968454786788794</c:v>
                </c:pt>
                <c:pt idx="4">
                  <c:v>0.2500526152153637</c:v>
                </c:pt>
                <c:pt idx="5">
                  <c:v>0.21999999999999997</c:v>
                </c:pt>
                <c:pt idx="6">
                  <c:v>0.31999999999999995</c:v>
                </c:pt>
                <c:pt idx="7">
                  <c:v>0.4</c:v>
                </c:pt>
                <c:pt idx="8">
                  <c:v>0.56000000000000005</c:v>
                </c:pt>
                <c:pt idx="9">
                  <c:v>0.71</c:v>
                </c:pt>
                <c:pt idx="10">
                  <c:v>0.82</c:v>
                </c:pt>
                <c:pt idx="11">
                  <c:v>0.88</c:v>
                </c:pt>
                <c:pt idx="12">
                  <c:v>0.89</c:v>
                </c:pt>
                <c:pt idx="13">
                  <c:v>0.88</c:v>
                </c:pt>
                <c:pt idx="14">
                  <c:v>0.88</c:v>
                </c:pt>
                <c:pt idx="15">
                  <c:v>0.84</c:v>
                </c:pt>
                <c:pt idx="16">
                  <c:v>0.7</c:v>
                </c:pt>
                <c:pt idx="17">
                  <c:v>0.6</c:v>
                </c:pt>
                <c:pt idx="18">
                  <c:v>0.45415157965226127</c:v>
                </c:pt>
                <c:pt idx="19">
                  <c:v>0.40477650491473938</c:v>
                </c:pt>
                <c:pt idx="20">
                  <c:v>0.42364934350560823</c:v>
                </c:pt>
                <c:pt idx="21">
                  <c:v>0.46340396527395789</c:v>
                </c:pt>
                <c:pt idx="22">
                  <c:v>0.62447085834549065</c:v>
                </c:pt>
                <c:pt idx="23">
                  <c:v>0.66732834285987608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9A-443D-AEF8-A68DD372E2E7}"/>
            </c:ext>
          </c:extLst>
        </c:ser>
        <c:ser>
          <c:idx val="1"/>
          <c:order val="1"/>
          <c:tx>
            <c:strRef>
              <c:f>Sheet2!$I$1</c:f>
              <c:strCache>
                <c:ptCount val="1"/>
                <c:pt idx="0">
                  <c:v>Solar_left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Sheet2!$I$2:$I$25</c:f>
              <c:numCache>
                <c:formatCode>0%</c:formatCode>
                <c:ptCount val="24"/>
                <c:pt idx="0">
                  <c:v>0.08</c:v>
                </c:pt>
                <c:pt idx="1">
                  <c:v>0.12</c:v>
                </c:pt>
                <c:pt idx="2">
                  <c:v>0.14000000000000001</c:v>
                </c:pt>
                <c:pt idx="3">
                  <c:v>0.16000000000000003</c:v>
                </c:pt>
                <c:pt idx="4">
                  <c:v>0.19999999999999998</c:v>
                </c:pt>
                <c:pt idx="5">
                  <c:v>0.21999999999999997</c:v>
                </c:pt>
                <c:pt idx="6">
                  <c:v>0.18000000000000002</c:v>
                </c:pt>
                <c:pt idx="7">
                  <c:v>0.15999999999999998</c:v>
                </c:pt>
                <c:pt idx="8">
                  <c:v>0.12</c:v>
                </c:pt>
                <c:pt idx="9">
                  <c:v>0.04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9A-443D-AEF8-A68DD372E2E7}"/>
            </c:ext>
          </c:extLst>
        </c:ser>
        <c:ser>
          <c:idx val="2"/>
          <c:order val="2"/>
          <c:tx>
            <c:strRef>
              <c:f>Sheet2!$J$1</c:f>
              <c:strCache>
                <c:ptCount val="1"/>
                <c:pt idx="0">
                  <c:v>Charge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Sheet2!$J$2:$J$25</c:f>
              <c:numCache>
                <c:formatCode>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0.12</c:v>
                </c:pt>
                <c:pt idx="19">
                  <c:v>0.16</c:v>
                </c:pt>
                <c:pt idx="20">
                  <c:v>0.15</c:v>
                </c:pt>
                <c:pt idx="21">
                  <c:v>0.13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9A-443D-AEF8-A68DD372E2E7}"/>
            </c:ext>
          </c:extLst>
        </c:ser>
        <c:ser>
          <c:idx val="3"/>
          <c:order val="3"/>
          <c:tx>
            <c:strRef>
              <c:f>Sheet2!$K$1</c:f>
              <c:strCache>
                <c:ptCount val="1"/>
                <c:pt idx="0">
                  <c:v>Load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Sheet2!$K$2:$K$25</c:f>
              <c:numCache>
                <c:formatCode>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0.06</c:v>
                </c:pt>
                <c:pt idx="3">
                  <c:v>0.12</c:v>
                </c:pt>
                <c:pt idx="4">
                  <c:v>0.15</c:v>
                </c:pt>
                <c:pt idx="5">
                  <c:v>0.14000000000000001</c:v>
                </c:pt>
                <c:pt idx="6">
                  <c:v>0.1</c:v>
                </c:pt>
                <c:pt idx="7">
                  <c:v>0.08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9A-443D-AEF8-A68DD372E2E7}"/>
            </c:ext>
          </c:extLst>
        </c:ser>
        <c:ser>
          <c:idx val="4"/>
          <c:order val="4"/>
          <c:tx>
            <c:strRef>
              <c:f>Sheet2!$L$1</c:f>
              <c:strCache>
                <c:ptCount val="1"/>
                <c:pt idx="0">
                  <c:v>V2G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Sheet2!$L$2:$L$25</c:f>
              <c:numCache>
                <c:formatCode>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0.02</c:v>
                </c:pt>
                <c:pt idx="12">
                  <c:v>0.08</c:v>
                </c:pt>
                <c:pt idx="13">
                  <c:v>0.12</c:v>
                </c:pt>
                <c:pt idx="14">
                  <c:v>0.09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9A-443D-AEF8-A68DD372E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0126415"/>
        <c:axId val="1180127375"/>
      </c:areaChart>
      <c:catAx>
        <c:axId val="1180126415"/>
        <c:scaling>
          <c:orientation val="minMax"/>
        </c:scaling>
        <c:delete val="1"/>
        <c:axPos val="b"/>
        <c:majorTickMark val="out"/>
        <c:minorTickMark val="none"/>
        <c:tickLblPos val="nextTo"/>
        <c:crossAx val="1180127375"/>
        <c:crosses val="autoZero"/>
        <c:auto val="1"/>
        <c:lblAlgn val="ctr"/>
        <c:lblOffset val="100"/>
        <c:noMultiLvlLbl val="0"/>
      </c:catAx>
      <c:valAx>
        <c:axId val="1180127375"/>
        <c:scaling>
          <c:orientation val="minMax"/>
          <c:max val="1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126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504824</xdr:colOff>
      <xdr:row>8</xdr:row>
      <xdr:rowOff>23812</xdr:rowOff>
    </xdr:from>
    <xdr:to>
      <xdr:col>16</xdr:col>
      <xdr:colOff>314325</xdr:colOff>
      <xdr:row>22</xdr:row>
      <xdr:rowOff>100012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927943D-2140-1E1F-DA2F-A1D8A45400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28</xdr:row>
      <xdr:rowOff>14287</xdr:rowOff>
    </xdr:from>
    <xdr:to>
      <xdr:col>7</xdr:col>
      <xdr:colOff>466725</xdr:colOff>
      <xdr:row>42</xdr:row>
      <xdr:rowOff>90487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04626A8-99F3-33A7-3415-F4D16E3133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workbookViewId="0">
      <selection activeCell="B1" sqref="B1:D1"/>
    </sheetView>
  </sheetViews>
  <sheetFormatPr defaultRowHeight="15" x14ac:dyDescent="0.25"/>
  <cols>
    <col min="1" max="1" width="22.7109375" customWidth="1"/>
    <col min="3" max="4" width="12.7109375" customWidth="1"/>
  </cols>
  <sheetData>
    <row r="1" spans="1:6" x14ac:dyDescent="0.25">
      <c r="A1" t="s">
        <v>0</v>
      </c>
      <c r="B1" t="s">
        <v>50</v>
      </c>
      <c r="C1" t="s">
        <v>51</v>
      </c>
      <c r="D1" t="s">
        <v>52</v>
      </c>
      <c r="E1" t="s">
        <v>1</v>
      </c>
    </row>
    <row r="2" spans="1:6" x14ac:dyDescent="0.25">
      <c r="A2" t="s">
        <v>2</v>
      </c>
      <c r="B2">
        <v>6743</v>
      </c>
      <c r="C2">
        <f t="shared" ref="C2:C49" si="0">E2-B2</f>
        <v>26701</v>
      </c>
      <c r="E2">
        <v>33444</v>
      </c>
    </row>
    <row r="3" spans="1:6" x14ac:dyDescent="0.25">
      <c r="A3" t="s">
        <v>3</v>
      </c>
      <c r="B3">
        <v>6784</v>
      </c>
      <c r="C3">
        <f t="shared" si="0"/>
        <v>28706</v>
      </c>
      <c r="E3">
        <v>35490</v>
      </c>
      <c r="F3">
        <f>AVERAGE(E2:E3)</f>
        <v>34467</v>
      </c>
    </row>
    <row r="4" spans="1:6" x14ac:dyDescent="0.25">
      <c r="A4" t="s">
        <v>4</v>
      </c>
      <c r="B4">
        <v>6701</v>
      </c>
      <c r="C4">
        <f t="shared" si="0"/>
        <v>29093</v>
      </c>
      <c r="E4">
        <v>35794</v>
      </c>
      <c r="F4">
        <f t="shared" ref="F4:F49" si="1">AVERAGE(E3:E4)</f>
        <v>35642</v>
      </c>
    </row>
    <row r="5" spans="1:6" x14ac:dyDescent="0.25">
      <c r="A5" t="s">
        <v>5</v>
      </c>
      <c r="B5">
        <v>6956</v>
      </c>
      <c r="C5">
        <f t="shared" si="0"/>
        <v>26742</v>
      </c>
      <c r="E5">
        <v>33698</v>
      </c>
      <c r="F5">
        <f t="shared" si="1"/>
        <v>34746</v>
      </c>
    </row>
    <row r="6" spans="1:6" x14ac:dyDescent="0.25">
      <c r="A6" t="s">
        <v>6</v>
      </c>
      <c r="B6">
        <v>7028</v>
      </c>
      <c r="C6">
        <f t="shared" si="0"/>
        <v>22459</v>
      </c>
      <c r="E6">
        <v>29487</v>
      </c>
      <c r="F6">
        <f t="shared" si="1"/>
        <v>31592.5</v>
      </c>
    </row>
    <row r="7" spans="1:6" x14ac:dyDescent="0.25">
      <c r="A7" t="s">
        <v>7</v>
      </c>
      <c r="B7">
        <v>6841</v>
      </c>
      <c r="C7">
        <f t="shared" si="0"/>
        <v>18203</v>
      </c>
      <c r="E7">
        <v>25044</v>
      </c>
      <c r="F7">
        <f t="shared" si="1"/>
        <v>27265.5</v>
      </c>
    </row>
    <row r="8" spans="1:6" x14ac:dyDescent="0.25">
      <c r="A8" t="s">
        <v>8</v>
      </c>
      <c r="B8">
        <v>7071</v>
      </c>
      <c r="C8">
        <f t="shared" si="0"/>
        <v>14360</v>
      </c>
      <c r="E8">
        <v>21431</v>
      </c>
      <c r="F8">
        <f t="shared" si="1"/>
        <v>23237.5</v>
      </c>
    </row>
    <row r="9" spans="1:6" x14ac:dyDescent="0.25">
      <c r="A9" t="s">
        <v>9</v>
      </c>
      <c r="B9">
        <v>7022</v>
      </c>
      <c r="C9">
        <f t="shared" si="0"/>
        <v>12206</v>
      </c>
      <c r="E9">
        <v>19228</v>
      </c>
      <c r="F9">
        <f t="shared" si="1"/>
        <v>20329.5</v>
      </c>
    </row>
    <row r="10" spans="1:6" x14ac:dyDescent="0.25">
      <c r="A10" t="s">
        <v>10</v>
      </c>
      <c r="B10">
        <v>7440</v>
      </c>
      <c r="C10">
        <f t="shared" si="0"/>
        <v>12704</v>
      </c>
      <c r="E10">
        <v>20144</v>
      </c>
      <c r="F10">
        <f t="shared" si="1"/>
        <v>19686</v>
      </c>
    </row>
    <row r="11" spans="1:6" x14ac:dyDescent="0.25">
      <c r="A11" t="s">
        <v>11</v>
      </c>
      <c r="B11">
        <v>8042</v>
      </c>
      <c r="C11">
        <f t="shared" si="0"/>
        <v>13995</v>
      </c>
      <c r="E11">
        <v>22037</v>
      </c>
      <c r="F11">
        <f t="shared" si="1"/>
        <v>21090.5</v>
      </c>
    </row>
    <row r="12" spans="1:6" x14ac:dyDescent="0.25">
      <c r="A12" t="s">
        <v>12</v>
      </c>
      <c r="B12">
        <v>8210</v>
      </c>
      <c r="C12">
        <f t="shared" si="0"/>
        <v>17714</v>
      </c>
      <c r="E12">
        <v>25924</v>
      </c>
      <c r="F12">
        <f t="shared" si="1"/>
        <v>23980.5</v>
      </c>
    </row>
    <row r="13" spans="1:6" x14ac:dyDescent="0.25">
      <c r="A13" t="s">
        <v>13</v>
      </c>
      <c r="B13">
        <v>8484</v>
      </c>
      <c r="C13">
        <f t="shared" si="0"/>
        <v>21843</v>
      </c>
      <c r="E13">
        <v>30327</v>
      </c>
      <c r="F13">
        <f t="shared" si="1"/>
        <v>28125.5</v>
      </c>
    </row>
    <row r="14" spans="1:6" x14ac:dyDescent="0.25">
      <c r="A14" t="s">
        <v>14</v>
      </c>
      <c r="B14">
        <v>8991</v>
      </c>
      <c r="C14">
        <f t="shared" si="0"/>
        <v>24319</v>
      </c>
      <c r="E14">
        <v>33310</v>
      </c>
      <c r="F14">
        <f t="shared" si="1"/>
        <v>31818.5</v>
      </c>
    </row>
    <row r="15" spans="1:6" x14ac:dyDescent="0.25">
      <c r="A15" t="s">
        <v>15</v>
      </c>
      <c r="B15">
        <v>9232</v>
      </c>
      <c r="C15">
        <f t="shared" si="0"/>
        <v>26645</v>
      </c>
      <c r="E15">
        <v>35877</v>
      </c>
      <c r="F15">
        <f t="shared" si="1"/>
        <v>34593.5</v>
      </c>
    </row>
    <row r="16" spans="1:6" x14ac:dyDescent="0.25">
      <c r="A16" t="s">
        <v>16</v>
      </c>
      <c r="B16">
        <v>9270</v>
      </c>
      <c r="C16">
        <f t="shared" si="0"/>
        <v>27677</v>
      </c>
      <c r="E16">
        <v>36947</v>
      </c>
      <c r="F16">
        <f t="shared" si="1"/>
        <v>36412</v>
      </c>
    </row>
    <row r="17" spans="1:6" x14ac:dyDescent="0.25">
      <c r="A17" t="s">
        <v>17</v>
      </c>
      <c r="B17">
        <v>9479</v>
      </c>
      <c r="C17">
        <f t="shared" si="0"/>
        <v>27461</v>
      </c>
      <c r="E17">
        <v>36940</v>
      </c>
      <c r="F17">
        <f t="shared" si="1"/>
        <v>36943.5</v>
      </c>
    </row>
    <row r="18" spans="1:6" x14ac:dyDescent="0.25">
      <c r="A18" t="s">
        <v>18</v>
      </c>
      <c r="B18">
        <v>9654</v>
      </c>
      <c r="C18">
        <f t="shared" si="0"/>
        <v>27561</v>
      </c>
      <c r="E18">
        <v>37215</v>
      </c>
      <c r="F18">
        <f t="shared" si="1"/>
        <v>37077.5</v>
      </c>
    </row>
    <row r="19" spans="1:6" x14ac:dyDescent="0.25">
      <c r="A19" t="s">
        <v>19</v>
      </c>
      <c r="B19">
        <v>10065</v>
      </c>
      <c r="C19">
        <f t="shared" si="0"/>
        <v>28345</v>
      </c>
      <c r="E19">
        <v>38410</v>
      </c>
      <c r="F19">
        <f t="shared" si="1"/>
        <v>37812.5</v>
      </c>
    </row>
    <row r="20" spans="1:6" x14ac:dyDescent="0.25">
      <c r="A20" t="s">
        <v>20</v>
      </c>
      <c r="B20">
        <v>10151</v>
      </c>
      <c r="C20">
        <f t="shared" si="0"/>
        <v>29933</v>
      </c>
      <c r="E20">
        <v>40084</v>
      </c>
      <c r="F20">
        <f t="shared" si="1"/>
        <v>39247</v>
      </c>
    </row>
    <row r="21" spans="1:6" x14ac:dyDescent="0.25">
      <c r="A21" t="s">
        <v>21</v>
      </c>
      <c r="B21">
        <v>10123</v>
      </c>
      <c r="C21">
        <f t="shared" si="0"/>
        <v>31234</v>
      </c>
      <c r="E21">
        <v>41357</v>
      </c>
      <c r="F21">
        <f t="shared" si="1"/>
        <v>40720.5</v>
      </c>
    </row>
    <row r="22" spans="1:6" x14ac:dyDescent="0.25">
      <c r="A22" t="s">
        <v>22</v>
      </c>
      <c r="B22">
        <v>9943</v>
      </c>
      <c r="C22">
        <f t="shared" si="0"/>
        <v>31935</v>
      </c>
      <c r="E22">
        <v>41878</v>
      </c>
      <c r="F22">
        <f t="shared" si="1"/>
        <v>41617.5</v>
      </c>
    </row>
    <row r="23" spans="1:6" x14ac:dyDescent="0.25">
      <c r="A23" t="s">
        <v>23</v>
      </c>
      <c r="B23">
        <v>9949</v>
      </c>
      <c r="C23">
        <f t="shared" si="0"/>
        <v>31799</v>
      </c>
      <c r="E23">
        <v>41748</v>
      </c>
      <c r="F23">
        <f t="shared" si="1"/>
        <v>41813</v>
      </c>
    </row>
    <row r="24" spans="1:6" x14ac:dyDescent="0.25">
      <c r="A24" t="s">
        <v>24</v>
      </c>
      <c r="B24">
        <v>10196</v>
      </c>
      <c r="C24">
        <f t="shared" si="0"/>
        <v>30870</v>
      </c>
      <c r="E24">
        <v>41066</v>
      </c>
      <c r="F24">
        <f t="shared" si="1"/>
        <v>41407</v>
      </c>
    </row>
    <row r="25" spans="1:6" x14ac:dyDescent="0.25">
      <c r="A25" t="s">
        <v>25</v>
      </c>
      <c r="B25">
        <v>10607</v>
      </c>
      <c r="C25">
        <f t="shared" si="0"/>
        <v>29505</v>
      </c>
      <c r="E25">
        <v>40112</v>
      </c>
      <c r="F25">
        <f t="shared" si="1"/>
        <v>40589</v>
      </c>
    </row>
    <row r="26" spans="1:6" x14ac:dyDescent="0.25">
      <c r="A26" t="s">
        <v>26</v>
      </c>
      <c r="B26">
        <v>10593</v>
      </c>
      <c r="C26">
        <f t="shared" si="0"/>
        <v>28356</v>
      </c>
      <c r="E26">
        <v>38949</v>
      </c>
      <c r="F26">
        <f t="shared" si="1"/>
        <v>39530.5</v>
      </c>
    </row>
    <row r="27" spans="1:6" x14ac:dyDescent="0.25">
      <c r="A27" t="s">
        <v>27</v>
      </c>
      <c r="B27">
        <v>10486</v>
      </c>
      <c r="C27">
        <f t="shared" si="0"/>
        <v>27256</v>
      </c>
      <c r="E27">
        <v>37742</v>
      </c>
      <c r="F27">
        <f t="shared" si="1"/>
        <v>38345.5</v>
      </c>
    </row>
    <row r="28" spans="1:6" x14ac:dyDescent="0.25">
      <c r="A28" t="s">
        <v>28</v>
      </c>
      <c r="B28">
        <v>10580</v>
      </c>
      <c r="C28">
        <f t="shared" si="0"/>
        <v>25744</v>
      </c>
      <c r="E28">
        <v>36324</v>
      </c>
      <c r="F28">
        <f t="shared" si="1"/>
        <v>37033</v>
      </c>
    </row>
    <row r="29" spans="1:6" x14ac:dyDescent="0.25">
      <c r="A29" t="s">
        <v>29</v>
      </c>
      <c r="B29">
        <v>10654</v>
      </c>
      <c r="C29">
        <f t="shared" si="0"/>
        <v>24212</v>
      </c>
      <c r="E29">
        <v>34866</v>
      </c>
      <c r="F29">
        <f t="shared" si="1"/>
        <v>35595</v>
      </c>
    </row>
    <row r="30" spans="1:6" x14ac:dyDescent="0.25">
      <c r="A30" t="s">
        <v>30</v>
      </c>
      <c r="B30">
        <v>10384</v>
      </c>
      <c r="C30">
        <f t="shared" si="0"/>
        <v>22727</v>
      </c>
      <c r="E30">
        <v>33111</v>
      </c>
      <c r="F30">
        <f t="shared" si="1"/>
        <v>33988.5</v>
      </c>
    </row>
    <row r="31" spans="1:6" x14ac:dyDescent="0.25">
      <c r="A31" t="s">
        <v>31</v>
      </c>
      <c r="B31">
        <v>10604</v>
      </c>
      <c r="C31">
        <f t="shared" si="0"/>
        <v>20663</v>
      </c>
      <c r="E31">
        <v>31267</v>
      </c>
      <c r="F31">
        <f t="shared" si="1"/>
        <v>32189</v>
      </c>
    </row>
    <row r="32" spans="1:6" x14ac:dyDescent="0.25">
      <c r="A32" t="s">
        <v>32</v>
      </c>
      <c r="B32">
        <v>10364</v>
      </c>
      <c r="C32">
        <f t="shared" si="0"/>
        <v>18969</v>
      </c>
      <c r="E32">
        <v>29333</v>
      </c>
      <c r="F32">
        <f t="shared" si="1"/>
        <v>30300</v>
      </c>
    </row>
    <row r="33" spans="1:6" x14ac:dyDescent="0.25">
      <c r="A33" t="s">
        <v>33</v>
      </c>
      <c r="B33">
        <v>10386</v>
      </c>
      <c r="C33">
        <f t="shared" si="0"/>
        <v>17191</v>
      </c>
      <c r="E33">
        <v>27577</v>
      </c>
      <c r="F33">
        <f t="shared" si="1"/>
        <v>28455</v>
      </c>
    </row>
    <row r="34" spans="1:6" x14ac:dyDescent="0.25">
      <c r="A34" t="s">
        <v>34</v>
      </c>
      <c r="B34">
        <v>10345</v>
      </c>
      <c r="C34">
        <f t="shared" si="0"/>
        <v>15372</v>
      </c>
      <c r="E34">
        <v>25717</v>
      </c>
      <c r="F34">
        <f t="shared" si="1"/>
        <v>26647</v>
      </c>
    </row>
    <row r="35" spans="1:6" x14ac:dyDescent="0.25">
      <c r="A35" t="s">
        <v>35</v>
      </c>
      <c r="B35">
        <v>10397</v>
      </c>
      <c r="C35">
        <f t="shared" si="0"/>
        <v>14003</v>
      </c>
      <c r="E35">
        <v>24400</v>
      </c>
      <c r="F35">
        <f t="shared" si="1"/>
        <v>25058.5</v>
      </c>
    </row>
    <row r="36" spans="1:6" x14ac:dyDescent="0.25">
      <c r="A36" t="s">
        <v>36</v>
      </c>
      <c r="B36">
        <v>10336</v>
      </c>
      <c r="C36">
        <f t="shared" si="0"/>
        <v>13846</v>
      </c>
      <c r="E36">
        <v>24182</v>
      </c>
      <c r="F36">
        <f t="shared" si="1"/>
        <v>24291</v>
      </c>
    </row>
    <row r="37" spans="1:6" x14ac:dyDescent="0.25">
      <c r="A37" t="s">
        <v>37</v>
      </c>
      <c r="B37">
        <v>10320</v>
      </c>
      <c r="C37">
        <f t="shared" si="0"/>
        <v>14258</v>
      </c>
      <c r="E37">
        <v>24578</v>
      </c>
      <c r="F37">
        <f t="shared" si="1"/>
        <v>24380</v>
      </c>
    </row>
    <row r="38" spans="1:6" x14ac:dyDescent="0.25">
      <c r="A38" t="s">
        <v>38</v>
      </c>
      <c r="B38">
        <v>10088</v>
      </c>
      <c r="C38">
        <f t="shared" si="0"/>
        <v>14091</v>
      </c>
      <c r="E38">
        <v>24179</v>
      </c>
      <c r="F38">
        <f t="shared" si="1"/>
        <v>24378.5</v>
      </c>
    </row>
    <row r="39" spans="1:6" x14ac:dyDescent="0.25">
      <c r="A39" t="s">
        <v>39</v>
      </c>
      <c r="B39">
        <v>9944</v>
      </c>
      <c r="C39">
        <f t="shared" si="0"/>
        <v>13491</v>
      </c>
      <c r="E39">
        <v>23435</v>
      </c>
      <c r="F39">
        <f t="shared" si="1"/>
        <v>23807</v>
      </c>
    </row>
    <row r="40" spans="1:6" x14ac:dyDescent="0.25">
      <c r="A40" t="s">
        <v>40</v>
      </c>
      <c r="B40">
        <v>9787</v>
      </c>
      <c r="C40">
        <f t="shared" si="0"/>
        <v>13017</v>
      </c>
      <c r="E40">
        <v>22804</v>
      </c>
      <c r="F40">
        <f t="shared" si="1"/>
        <v>23119.5</v>
      </c>
    </row>
    <row r="41" spans="1:6" x14ac:dyDescent="0.25">
      <c r="A41" t="s">
        <v>41</v>
      </c>
      <c r="B41">
        <v>9750</v>
      </c>
      <c r="C41">
        <f t="shared" si="0"/>
        <v>12677</v>
      </c>
      <c r="E41">
        <v>22427</v>
      </c>
      <c r="F41">
        <f t="shared" si="1"/>
        <v>22615.5</v>
      </c>
    </row>
    <row r="42" spans="1:6" x14ac:dyDescent="0.25">
      <c r="A42" t="s">
        <v>42</v>
      </c>
      <c r="B42">
        <v>9724</v>
      </c>
      <c r="C42">
        <f t="shared" si="0"/>
        <v>12444</v>
      </c>
      <c r="E42">
        <v>22168</v>
      </c>
      <c r="F42">
        <f t="shared" si="1"/>
        <v>22297.5</v>
      </c>
    </row>
    <row r="43" spans="1:6" x14ac:dyDescent="0.25">
      <c r="A43" t="s">
        <v>43</v>
      </c>
      <c r="B43">
        <v>9819</v>
      </c>
      <c r="C43">
        <f t="shared" si="0"/>
        <v>11985</v>
      </c>
      <c r="E43">
        <v>21804</v>
      </c>
      <c r="F43">
        <f t="shared" si="1"/>
        <v>21986</v>
      </c>
    </row>
    <row r="44" spans="1:6" x14ac:dyDescent="0.25">
      <c r="A44" t="s">
        <v>44</v>
      </c>
      <c r="B44">
        <v>9847</v>
      </c>
      <c r="C44">
        <f t="shared" si="0"/>
        <v>11840</v>
      </c>
      <c r="E44">
        <v>21687</v>
      </c>
      <c r="F44">
        <f t="shared" si="1"/>
        <v>21745.5</v>
      </c>
    </row>
    <row r="45" spans="1:6" x14ac:dyDescent="0.25">
      <c r="A45" t="s">
        <v>45</v>
      </c>
      <c r="B45">
        <v>9774</v>
      </c>
      <c r="C45">
        <f t="shared" si="0"/>
        <v>12164</v>
      </c>
      <c r="E45">
        <v>21938</v>
      </c>
      <c r="F45">
        <f t="shared" si="1"/>
        <v>21812.5</v>
      </c>
    </row>
    <row r="46" spans="1:6" x14ac:dyDescent="0.25">
      <c r="A46" t="s">
        <v>46</v>
      </c>
      <c r="B46">
        <v>9654</v>
      </c>
      <c r="C46">
        <f t="shared" si="0"/>
        <v>12840</v>
      </c>
      <c r="E46">
        <v>22494</v>
      </c>
      <c r="F46">
        <f t="shared" si="1"/>
        <v>22216</v>
      </c>
    </row>
    <row r="47" spans="1:6" x14ac:dyDescent="0.25">
      <c r="A47" t="s">
        <v>47</v>
      </c>
      <c r="B47">
        <v>9497</v>
      </c>
      <c r="C47">
        <f t="shared" si="0"/>
        <v>14231</v>
      </c>
      <c r="E47">
        <v>23728</v>
      </c>
      <c r="F47">
        <f t="shared" si="1"/>
        <v>23111</v>
      </c>
    </row>
    <row r="48" spans="1:6" x14ac:dyDescent="0.25">
      <c r="A48" t="s">
        <v>48</v>
      </c>
      <c r="B48">
        <v>9595</v>
      </c>
      <c r="C48">
        <f t="shared" si="0"/>
        <v>16920</v>
      </c>
      <c r="E48">
        <v>26515</v>
      </c>
      <c r="F48">
        <f t="shared" si="1"/>
        <v>25121.5</v>
      </c>
    </row>
    <row r="49" spans="1:6" x14ac:dyDescent="0.25">
      <c r="A49" t="s">
        <v>49</v>
      </c>
      <c r="B49">
        <v>10020</v>
      </c>
      <c r="C49">
        <f t="shared" si="0"/>
        <v>19272</v>
      </c>
      <c r="E49">
        <v>29292</v>
      </c>
      <c r="F49">
        <f t="shared" si="1"/>
        <v>27903.5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E7BF7-6BA5-4D7C-88EE-650F70AC7862}">
  <dimension ref="A1:L25"/>
  <sheetViews>
    <sheetView tabSelected="1" workbookViewId="0">
      <selection activeCell="G49" sqref="G49"/>
    </sheetView>
  </sheetViews>
  <sheetFormatPr defaultRowHeight="15" x14ac:dyDescent="0.25"/>
  <cols>
    <col min="1" max="1" width="27.85546875" customWidth="1"/>
    <col min="2" max="2" width="10.5703125" customWidth="1"/>
    <col min="3" max="3" width="11.85546875" customWidth="1"/>
    <col min="5" max="6" width="10.7109375" customWidth="1"/>
  </cols>
  <sheetData>
    <row r="1" spans="1:12" x14ac:dyDescent="0.25">
      <c r="B1" t="s">
        <v>50</v>
      </c>
      <c r="C1" t="s">
        <v>51</v>
      </c>
      <c r="D1" t="s">
        <v>52</v>
      </c>
      <c r="E1" t="s">
        <v>1</v>
      </c>
      <c r="H1" t="s">
        <v>54</v>
      </c>
      <c r="I1" t="s">
        <v>53</v>
      </c>
      <c r="J1" t="s">
        <v>51</v>
      </c>
      <c r="K1" t="s">
        <v>55</v>
      </c>
      <c r="L1" t="s">
        <v>52</v>
      </c>
    </row>
    <row r="2" spans="1:12" x14ac:dyDescent="0.25">
      <c r="A2" t="s">
        <v>2</v>
      </c>
      <c r="B2" s="1">
        <v>0.08</v>
      </c>
      <c r="C2" s="1">
        <v>0</v>
      </c>
      <c r="D2" s="1">
        <v>0</v>
      </c>
      <c r="E2" s="1">
        <v>0.82431301269939972</v>
      </c>
      <c r="F2" s="1">
        <v>0.82431301269939972</v>
      </c>
      <c r="H2" s="3">
        <f>E2-I2-J2-L2-K2</f>
        <v>0.74431301269939976</v>
      </c>
      <c r="I2" s="3">
        <f t="shared" ref="I2:I18" si="0">B2-C2</f>
        <v>0.08</v>
      </c>
      <c r="J2" s="3">
        <v>0</v>
      </c>
      <c r="K2" s="3">
        <v>0</v>
      </c>
      <c r="L2" s="3">
        <f>D2</f>
        <v>0</v>
      </c>
    </row>
    <row r="3" spans="1:12" x14ac:dyDescent="0.25">
      <c r="A3" t="s">
        <v>4</v>
      </c>
      <c r="B3" s="1">
        <v>0.12</v>
      </c>
      <c r="C3" s="1">
        <v>0</v>
      </c>
      <c r="D3" s="1">
        <v>0</v>
      </c>
      <c r="E3" s="1">
        <v>0.78315356468084085</v>
      </c>
      <c r="F3" s="1">
        <v>0.78315356468084085</v>
      </c>
      <c r="H3" s="3">
        <f t="shared" ref="H3:H25" si="1">E3-I3-J3-L3-K3</f>
        <v>0.66315356468084086</v>
      </c>
      <c r="I3" s="3">
        <f t="shared" si="0"/>
        <v>0.12</v>
      </c>
      <c r="J3" s="3">
        <v>0</v>
      </c>
      <c r="K3" s="3">
        <v>0</v>
      </c>
      <c r="L3" s="3">
        <f t="shared" ref="L3:L25" si="2">D3</f>
        <v>0</v>
      </c>
    </row>
    <row r="4" spans="1:12" x14ac:dyDescent="0.25">
      <c r="A4" t="s">
        <v>6</v>
      </c>
      <c r="B4" s="1">
        <v>0.2</v>
      </c>
      <c r="C4" s="1">
        <v>0.06</v>
      </c>
      <c r="D4" s="1">
        <v>0</v>
      </c>
      <c r="E4" s="1">
        <v>0.72381795135484184</v>
      </c>
      <c r="F4" s="1">
        <v>0.72381795135484184</v>
      </c>
      <c r="H4" s="3">
        <f t="shared" si="1"/>
        <v>0.52381795135484177</v>
      </c>
      <c r="I4" s="3">
        <f t="shared" si="0"/>
        <v>0.14000000000000001</v>
      </c>
      <c r="J4" s="3">
        <v>0</v>
      </c>
      <c r="K4" s="3">
        <v>0.06</v>
      </c>
      <c r="L4" s="3">
        <f t="shared" si="2"/>
        <v>0</v>
      </c>
    </row>
    <row r="5" spans="1:12" x14ac:dyDescent="0.25">
      <c r="A5" t="s">
        <v>8</v>
      </c>
      <c r="B5" s="1">
        <v>0.28000000000000003</v>
      </c>
      <c r="C5" s="1">
        <v>0.12</v>
      </c>
      <c r="D5" s="1">
        <v>0</v>
      </c>
      <c r="E5" s="1">
        <v>0.62968454786788797</v>
      </c>
      <c r="F5" s="1">
        <v>0.62968454786788797</v>
      </c>
      <c r="H5" s="3">
        <f t="shared" si="1"/>
        <v>0.34968454786788794</v>
      </c>
      <c r="I5" s="3">
        <f t="shared" si="0"/>
        <v>0.16000000000000003</v>
      </c>
      <c r="J5" s="3">
        <v>0</v>
      </c>
      <c r="K5" s="3">
        <v>0.12</v>
      </c>
      <c r="L5" s="3">
        <f t="shared" si="2"/>
        <v>0</v>
      </c>
    </row>
    <row r="6" spans="1:12" x14ac:dyDescent="0.25">
      <c r="A6" t="s">
        <v>10</v>
      </c>
      <c r="B6" s="1">
        <v>0.35</v>
      </c>
      <c r="C6" s="1">
        <v>0.15</v>
      </c>
      <c r="D6" s="1">
        <v>0</v>
      </c>
      <c r="E6" s="1">
        <v>0.60005261521536368</v>
      </c>
      <c r="F6" s="1">
        <v>0.60005261521536368</v>
      </c>
      <c r="H6" s="3">
        <f t="shared" si="1"/>
        <v>0.2500526152153637</v>
      </c>
      <c r="I6" s="3">
        <f t="shared" si="0"/>
        <v>0.19999999999999998</v>
      </c>
      <c r="J6" s="3">
        <v>0</v>
      </c>
      <c r="K6" s="3">
        <v>0.15</v>
      </c>
      <c r="L6" s="3">
        <f t="shared" si="2"/>
        <v>0</v>
      </c>
    </row>
    <row r="7" spans="1:12" x14ac:dyDescent="0.25">
      <c r="A7" t="s">
        <v>12</v>
      </c>
      <c r="B7" s="1">
        <v>0.36</v>
      </c>
      <c r="C7" s="1">
        <v>0.14000000000000001</v>
      </c>
      <c r="D7" s="1">
        <v>0</v>
      </c>
      <c r="E7" s="1">
        <v>0.57999999999999996</v>
      </c>
      <c r="F7" s="1">
        <v>0.62480568244325929</v>
      </c>
      <c r="H7" s="3">
        <f t="shared" si="1"/>
        <v>0.21999999999999997</v>
      </c>
      <c r="I7" s="3">
        <f t="shared" si="0"/>
        <v>0.21999999999999997</v>
      </c>
      <c r="J7" s="3">
        <v>0</v>
      </c>
      <c r="K7" s="3">
        <v>0.14000000000000001</v>
      </c>
      <c r="L7" s="3">
        <f t="shared" si="2"/>
        <v>0</v>
      </c>
    </row>
    <row r="8" spans="1:12" x14ac:dyDescent="0.25">
      <c r="A8" t="s">
        <v>14</v>
      </c>
      <c r="B8" s="1">
        <v>0.28000000000000003</v>
      </c>
      <c r="C8" s="1">
        <v>0.1</v>
      </c>
      <c r="D8" s="1">
        <v>0</v>
      </c>
      <c r="E8" s="1">
        <v>0.6</v>
      </c>
      <c r="F8" s="1">
        <v>0.68383038767847315</v>
      </c>
      <c r="H8" s="3">
        <f t="shared" si="1"/>
        <v>0.31999999999999995</v>
      </c>
      <c r="I8" s="3">
        <f t="shared" si="0"/>
        <v>0.18000000000000002</v>
      </c>
      <c r="J8" s="3">
        <v>0</v>
      </c>
      <c r="K8" s="3">
        <v>0.1</v>
      </c>
      <c r="L8" s="3">
        <f t="shared" si="2"/>
        <v>0</v>
      </c>
    </row>
    <row r="9" spans="1:12" x14ac:dyDescent="0.25">
      <c r="A9" t="s">
        <v>16</v>
      </c>
      <c r="B9" s="1">
        <v>0.24</v>
      </c>
      <c r="C9" s="1">
        <v>0.08</v>
      </c>
      <c r="D9" s="1">
        <v>0</v>
      </c>
      <c r="E9" s="1">
        <v>0.64</v>
      </c>
      <c r="F9" s="1">
        <v>0.78786501805658526</v>
      </c>
      <c r="H9" s="3">
        <f t="shared" si="1"/>
        <v>0.4</v>
      </c>
      <c r="I9" s="3">
        <f t="shared" si="0"/>
        <v>0.15999999999999998</v>
      </c>
      <c r="J9" s="3">
        <v>0</v>
      </c>
      <c r="K9" s="3">
        <v>0.08</v>
      </c>
      <c r="L9" s="3">
        <f t="shared" si="2"/>
        <v>0</v>
      </c>
    </row>
    <row r="10" spans="1:12" x14ac:dyDescent="0.25">
      <c r="A10" t="s">
        <v>18</v>
      </c>
      <c r="B10" s="1">
        <v>0.12</v>
      </c>
      <c r="C10" s="1">
        <v>0</v>
      </c>
      <c r="D10" s="1">
        <v>0</v>
      </c>
      <c r="E10" s="1">
        <v>0.68</v>
      </c>
      <c r="F10" s="1">
        <v>0.90431205605912035</v>
      </c>
      <c r="H10" s="3">
        <f t="shared" si="1"/>
        <v>0.56000000000000005</v>
      </c>
      <c r="I10" s="3">
        <f t="shared" si="0"/>
        <v>0.12</v>
      </c>
      <c r="J10" s="3">
        <v>0</v>
      </c>
      <c r="K10" s="3">
        <v>0</v>
      </c>
      <c r="L10" s="3">
        <f t="shared" si="2"/>
        <v>0</v>
      </c>
    </row>
    <row r="11" spans="1:12" x14ac:dyDescent="0.25">
      <c r="A11" t="s">
        <v>20</v>
      </c>
      <c r="B11" s="1">
        <v>0.04</v>
      </c>
      <c r="C11" s="1">
        <v>0</v>
      </c>
      <c r="D11" s="1">
        <v>0</v>
      </c>
      <c r="E11" s="1">
        <v>0.75</v>
      </c>
      <c r="F11" s="1">
        <v>0.97385980436706288</v>
      </c>
      <c r="H11" s="3">
        <f t="shared" si="1"/>
        <v>0.71</v>
      </c>
      <c r="I11" s="3">
        <f t="shared" si="0"/>
        <v>0.04</v>
      </c>
      <c r="J11" s="3">
        <v>0</v>
      </c>
      <c r="K11" s="3">
        <v>0</v>
      </c>
      <c r="L11" s="3">
        <f t="shared" si="2"/>
        <v>0</v>
      </c>
    </row>
    <row r="12" spans="1:12" x14ac:dyDescent="0.25">
      <c r="A12" t="s">
        <v>22</v>
      </c>
      <c r="B12" s="1">
        <v>0</v>
      </c>
      <c r="C12" s="1">
        <v>0</v>
      </c>
      <c r="D12" s="1">
        <v>0</v>
      </c>
      <c r="E12" s="1">
        <v>0.82</v>
      </c>
      <c r="F12" s="1">
        <v>1</v>
      </c>
      <c r="H12" s="3">
        <f t="shared" si="1"/>
        <v>0.82</v>
      </c>
      <c r="I12" s="3">
        <f t="shared" si="0"/>
        <v>0</v>
      </c>
      <c r="J12" s="3">
        <v>0</v>
      </c>
      <c r="K12" s="3">
        <v>0</v>
      </c>
      <c r="L12" s="3">
        <f t="shared" si="2"/>
        <v>0</v>
      </c>
    </row>
    <row r="13" spans="1:12" x14ac:dyDescent="0.25">
      <c r="A13" t="s">
        <v>24</v>
      </c>
      <c r="B13" s="1">
        <v>0</v>
      </c>
      <c r="C13" s="1">
        <v>0</v>
      </c>
      <c r="D13" s="1">
        <v>0.02</v>
      </c>
      <c r="E13" s="1">
        <v>0.9</v>
      </c>
      <c r="F13" s="1">
        <v>0.97072680745222772</v>
      </c>
      <c r="H13" s="3">
        <f t="shared" si="1"/>
        <v>0.88</v>
      </c>
      <c r="I13" s="3">
        <f t="shared" si="0"/>
        <v>0</v>
      </c>
      <c r="J13" s="3">
        <f t="shared" ref="J3:K25" si="3">C13</f>
        <v>0</v>
      </c>
      <c r="K13" s="3">
        <v>0</v>
      </c>
      <c r="L13" s="3">
        <f t="shared" si="2"/>
        <v>0.02</v>
      </c>
    </row>
    <row r="14" spans="1:12" x14ac:dyDescent="0.25">
      <c r="A14" t="s">
        <v>26</v>
      </c>
      <c r="B14" s="1">
        <v>0</v>
      </c>
      <c r="C14" s="1">
        <v>0</v>
      </c>
      <c r="D14" s="1">
        <v>0.08</v>
      </c>
      <c r="E14" s="1">
        <v>0.97</v>
      </c>
      <c r="F14" s="1">
        <v>0.91705928778131207</v>
      </c>
      <c r="H14" s="3">
        <f t="shared" si="1"/>
        <v>0.89</v>
      </c>
      <c r="I14" s="3">
        <f t="shared" si="0"/>
        <v>0</v>
      </c>
      <c r="J14" s="3">
        <f t="shared" si="3"/>
        <v>0</v>
      </c>
      <c r="K14" s="3">
        <v>0</v>
      </c>
      <c r="L14" s="3">
        <f t="shared" si="2"/>
        <v>0.08</v>
      </c>
    </row>
    <row r="15" spans="1:12" x14ac:dyDescent="0.25">
      <c r="A15" t="s">
        <v>28</v>
      </c>
      <c r="B15" s="1">
        <v>0</v>
      </c>
      <c r="C15" s="1">
        <v>0</v>
      </c>
      <c r="D15" s="1">
        <v>0.12</v>
      </c>
      <c r="E15" s="1">
        <v>1</v>
      </c>
      <c r="F15" s="1">
        <v>0.85129026857675838</v>
      </c>
      <c r="H15" s="3">
        <f t="shared" si="1"/>
        <v>0.88</v>
      </c>
      <c r="I15" s="3">
        <f t="shared" si="0"/>
        <v>0</v>
      </c>
      <c r="J15" s="3">
        <f t="shared" si="3"/>
        <v>0</v>
      </c>
      <c r="K15" s="3">
        <v>0</v>
      </c>
      <c r="L15" s="3">
        <f t="shared" si="2"/>
        <v>0.12</v>
      </c>
    </row>
    <row r="16" spans="1:12" x14ac:dyDescent="0.25">
      <c r="A16" t="s">
        <v>30</v>
      </c>
      <c r="B16" s="1">
        <v>0</v>
      </c>
      <c r="C16" s="1">
        <v>0</v>
      </c>
      <c r="D16" s="1">
        <v>0.09</v>
      </c>
      <c r="E16" s="1">
        <v>0.97</v>
      </c>
      <c r="F16" s="1">
        <v>0.7698323487910459</v>
      </c>
      <c r="H16" s="3">
        <f t="shared" si="1"/>
        <v>0.88</v>
      </c>
      <c r="I16" s="3">
        <f t="shared" si="0"/>
        <v>0</v>
      </c>
      <c r="J16" s="3">
        <f t="shared" si="3"/>
        <v>0</v>
      </c>
      <c r="K16" s="3">
        <v>0</v>
      </c>
      <c r="L16" s="3">
        <f t="shared" si="2"/>
        <v>0.09</v>
      </c>
    </row>
    <row r="17" spans="1:12" x14ac:dyDescent="0.25">
      <c r="A17" t="s">
        <v>32</v>
      </c>
      <c r="B17" s="1">
        <v>0</v>
      </c>
      <c r="C17" s="1">
        <v>0</v>
      </c>
      <c r="D17" s="1">
        <v>0</v>
      </c>
      <c r="E17" s="1">
        <v>0.84</v>
      </c>
      <c r="F17" s="1">
        <v>0.68052997871475374</v>
      </c>
      <c r="H17" s="3">
        <f t="shared" si="1"/>
        <v>0.84</v>
      </c>
      <c r="I17" s="3">
        <f t="shared" si="0"/>
        <v>0</v>
      </c>
      <c r="J17" s="3">
        <f t="shared" si="3"/>
        <v>0</v>
      </c>
      <c r="K17" s="3">
        <v>0</v>
      </c>
      <c r="L17" s="3">
        <f t="shared" si="2"/>
        <v>0</v>
      </c>
    </row>
    <row r="18" spans="1:12" x14ac:dyDescent="0.25">
      <c r="A18" t="s">
        <v>34</v>
      </c>
      <c r="B18" s="1">
        <v>0</v>
      </c>
      <c r="C18" s="1">
        <v>0</v>
      </c>
      <c r="D18" s="1">
        <v>0</v>
      </c>
      <c r="E18" s="1">
        <v>0.7</v>
      </c>
      <c r="F18" s="1">
        <v>0.62320330997536655</v>
      </c>
      <c r="H18" s="3">
        <f t="shared" si="1"/>
        <v>0.7</v>
      </c>
      <c r="I18" s="3">
        <f t="shared" si="0"/>
        <v>0</v>
      </c>
      <c r="J18" s="3">
        <f t="shared" si="3"/>
        <v>0</v>
      </c>
      <c r="K18" s="3">
        <v>0</v>
      </c>
      <c r="L18" s="3">
        <f t="shared" si="2"/>
        <v>0</v>
      </c>
    </row>
    <row r="19" spans="1:12" x14ac:dyDescent="0.25">
      <c r="A19" t="s">
        <v>36</v>
      </c>
      <c r="B19" s="1">
        <v>0</v>
      </c>
      <c r="C19" s="1">
        <v>0</v>
      </c>
      <c r="D19" s="1">
        <v>0</v>
      </c>
      <c r="E19" s="2">
        <v>0.6</v>
      </c>
      <c r="F19" s="2">
        <v>0.59981345514552886</v>
      </c>
      <c r="H19" s="3">
        <f t="shared" si="1"/>
        <v>0.6</v>
      </c>
      <c r="I19" s="3">
        <v>0</v>
      </c>
      <c r="J19" s="3">
        <f t="shared" si="3"/>
        <v>0</v>
      </c>
      <c r="K19" s="3">
        <v>0</v>
      </c>
      <c r="L19" s="3">
        <f t="shared" si="2"/>
        <v>0</v>
      </c>
    </row>
    <row r="20" spans="1:12" x14ac:dyDescent="0.25">
      <c r="A20" t="s">
        <v>38</v>
      </c>
      <c r="B20" s="1">
        <v>0</v>
      </c>
      <c r="C20" s="1">
        <v>0.12</v>
      </c>
      <c r="D20" s="1">
        <v>0</v>
      </c>
      <c r="E20" s="2">
        <v>0.57415157965226127</v>
      </c>
      <c r="F20" s="2">
        <v>0.57415157965226127</v>
      </c>
      <c r="H20" s="3">
        <f t="shared" si="1"/>
        <v>0.45415157965226127</v>
      </c>
      <c r="I20" s="3">
        <v>0</v>
      </c>
      <c r="J20" s="3">
        <f t="shared" si="3"/>
        <v>0.12</v>
      </c>
      <c r="K20" s="3">
        <v>0</v>
      </c>
      <c r="L20" s="3">
        <f t="shared" si="2"/>
        <v>0</v>
      </c>
    </row>
    <row r="21" spans="1:12" x14ac:dyDescent="0.25">
      <c r="A21" t="s">
        <v>40</v>
      </c>
      <c r="B21" s="1">
        <v>0</v>
      </c>
      <c r="C21" s="1">
        <v>0.16</v>
      </c>
      <c r="D21" s="1">
        <v>0</v>
      </c>
      <c r="E21" s="2">
        <v>0.56477650491473941</v>
      </c>
      <c r="F21" s="2">
        <v>0.56477650491473941</v>
      </c>
      <c r="H21" s="3">
        <f t="shared" si="1"/>
        <v>0.40477650491473938</v>
      </c>
      <c r="I21" s="3">
        <v>0</v>
      </c>
      <c r="J21" s="3">
        <f t="shared" si="3"/>
        <v>0.16</v>
      </c>
      <c r="K21" s="3">
        <v>0</v>
      </c>
      <c r="L21" s="3">
        <f t="shared" si="2"/>
        <v>0</v>
      </c>
    </row>
    <row r="22" spans="1:12" x14ac:dyDescent="0.25">
      <c r="A22" t="s">
        <v>42</v>
      </c>
      <c r="B22" s="1">
        <v>0</v>
      </c>
      <c r="C22" s="1">
        <v>0.15</v>
      </c>
      <c r="D22" s="1">
        <v>0</v>
      </c>
      <c r="E22" s="2">
        <v>0.57364934350560826</v>
      </c>
      <c r="F22" s="2">
        <v>0.57364934350560826</v>
      </c>
      <c r="H22" s="3">
        <f t="shared" si="1"/>
        <v>0.42364934350560823</v>
      </c>
      <c r="I22" s="3">
        <v>0</v>
      </c>
      <c r="J22" s="3">
        <f t="shared" si="3"/>
        <v>0.15</v>
      </c>
      <c r="K22" s="3">
        <v>0</v>
      </c>
      <c r="L22" s="3">
        <f t="shared" si="2"/>
        <v>0</v>
      </c>
    </row>
    <row r="23" spans="1:12" x14ac:dyDescent="0.25">
      <c r="A23" t="s">
        <v>44</v>
      </c>
      <c r="B23" s="1">
        <v>0</v>
      </c>
      <c r="C23" s="1">
        <v>0.13</v>
      </c>
      <c r="D23" s="1">
        <v>0</v>
      </c>
      <c r="E23" s="2">
        <v>0.59340396527395789</v>
      </c>
      <c r="F23" s="2">
        <v>0.59340396527395789</v>
      </c>
      <c r="H23" s="3">
        <f t="shared" si="1"/>
        <v>0.46340396527395789</v>
      </c>
      <c r="I23" s="3">
        <v>0</v>
      </c>
      <c r="J23" s="3">
        <f t="shared" si="3"/>
        <v>0.13</v>
      </c>
      <c r="K23" s="3">
        <v>0</v>
      </c>
      <c r="L23" s="3">
        <f t="shared" si="2"/>
        <v>0</v>
      </c>
    </row>
    <row r="24" spans="1:12" x14ac:dyDescent="0.25">
      <c r="A24" t="s">
        <v>46</v>
      </c>
      <c r="B24" s="1">
        <v>0</v>
      </c>
      <c r="C24" s="1">
        <v>0</v>
      </c>
      <c r="D24" s="1">
        <v>0</v>
      </c>
      <c r="E24" s="2">
        <v>0.62447085834549065</v>
      </c>
      <c r="F24" s="2">
        <v>0.62447085834549065</v>
      </c>
      <c r="H24" s="3">
        <f t="shared" si="1"/>
        <v>0.62447085834549065</v>
      </c>
      <c r="I24" s="3">
        <f>B24-C24</f>
        <v>0</v>
      </c>
      <c r="J24" s="3">
        <f t="shared" si="3"/>
        <v>0</v>
      </c>
      <c r="K24" s="3">
        <v>0</v>
      </c>
      <c r="L24" s="3">
        <f t="shared" si="2"/>
        <v>0</v>
      </c>
    </row>
    <row r="25" spans="1:12" x14ac:dyDescent="0.25">
      <c r="A25" t="s">
        <v>48</v>
      </c>
      <c r="B25" s="1">
        <v>0</v>
      </c>
      <c r="C25" s="1">
        <v>0</v>
      </c>
      <c r="D25" s="1">
        <v>0</v>
      </c>
      <c r="E25" s="2">
        <v>0.66732834285987608</v>
      </c>
      <c r="F25" s="2">
        <v>0.66732834285987608</v>
      </c>
      <c r="H25" s="3">
        <f t="shared" si="1"/>
        <v>0.66732834285987608</v>
      </c>
      <c r="I25" s="3">
        <f>B25-C25</f>
        <v>0</v>
      </c>
      <c r="J25" s="3">
        <f t="shared" si="3"/>
        <v>0</v>
      </c>
      <c r="K25" s="3">
        <v>0</v>
      </c>
      <c r="L25" s="3">
        <f t="shared" si="2"/>
        <v>0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Dawei Qiu</dc:creator>
  <cp:lastModifiedBy>Dawei Qiu</cp:lastModifiedBy>
  <dcterms:created xsi:type="dcterms:W3CDTF">2015-06-05T18:19:34Z</dcterms:created>
  <dcterms:modified xsi:type="dcterms:W3CDTF">2025-07-29T18:14:15Z</dcterms:modified>
</cp:coreProperties>
</file>