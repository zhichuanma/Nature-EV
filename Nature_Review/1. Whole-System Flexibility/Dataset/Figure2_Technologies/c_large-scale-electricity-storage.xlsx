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q315_ic_ac_uk/Documents/Nature_Review/1. Whole-System Flexibility/Dataset/Figure2_Technologies/"/>
    </mc:Choice>
  </mc:AlternateContent>
  <xr:revisionPtr revIDLastSave="346" documentId="8_{9C837EB0-6491-4077-92A5-B3A5AC651F15}" xr6:coauthVersionLast="47" xr6:coauthVersionMax="47" xr10:uidLastSave="{D183FA38-DD4A-47FE-BC01-393BC8974297}"/>
  <bookViews>
    <workbookView xWindow="-32510" yWindow="-15280" windowWidth="21820" windowHeight="38020" xr2:uid="{9CAE1F20-D0C2-42F6-89DD-74AD540E348F}"/>
  </bookViews>
  <sheets>
    <sheet name="power_balancing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2" i="1"/>
  <c r="F241" i="2"/>
  <c r="H241" i="2" s="1"/>
  <c r="F240" i="2"/>
  <c r="H240" i="2" s="1"/>
  <c r="H239" i="2"/>
  <c r="F239" i="2"/>
  <c r="H238" i="2"/>
  <c r="F238" i="2"/>
  <c r="F237" i="2"/>
  <c r="H237" i="2" s="1"/>
  <c r="H236" i="2"/>
  <c r="F236" i="2"/>
  <c r="F235" i="2"/>
  <c r="H235" i="2" s="1"/>
  <c r="F234" i="2"/>
  <c r="H234" i="2" s="1"/>
  <c r="H233" i="2"/>
  <c r="F233" i="2"/>
  <c r="H232" i="2"/>
  <c r="F232" i="2"/>
  <c r="F231" i="2"/>
  <c r="H231" i="2" s="1"/>
  <c r="H230" i="2"/>
  <c r="F230" i="2"/>
  <c r="F229" i="2"/>
  <c r="H229" i="2" s="1"/>
  <c r="F228" i="2"/>
  <c r="H228" i="2" s="1"/>
  <c r="H227" i="2"/>
  <c r="F227" i="2"/>
  <c r="H226" i="2"/>
  <c r="F226" i="2"/>
  <c r="F225" i="2"/>
  <c r="H225" i="2" s="1"/>
  <c r="H224" i="2"/>
  <c r="F224" i="2"/>
  <c r="F223" i="2"/>
  <c r="H223" i="2" s="1"/>
  <c r="F222" i="2"/>
  <c r="H222" i="2" s="1"/>
  <c r="H221" i="2"/>
  <c r="F221" i="2"/>
  <c r="H220" i="2"/>
  <c r="F220" i="2"/>
  <c r="F219" i="2"/>
  <c r="H219" i="2" s="1"/>
  <c r="H218" i="2"/>
  <c r="F218" i="2"/>
  <c r="F217" i="2"/>
  <c r="H217" i="2" s="1"/>
  <c r="F216" i="2"/>
  <c r="H216" i="2" s="1"/>
  <c r="H215" i="2"/>
  <c r="F215" i="2"/>
  <c r="H214" i="2"/>
  <c r="F214" i="2"/>
  <c r="F213" i="2"/>
  <c r="H213" i="2" s="1"/>
  <c r="H212" i="2"/>
  <c r="F212" i="2"/>
  <c r="F211" i="2"/>
  <c r="H211" i="2" s="1"/>
  <c r="F210" i="2"/>
  <c r="H210" i="2" s="1"/>
  <c r="H209" i="2"/>
  <c r="F209" i="2"/>
  <c r="H208" i="2"/>
  <c r="F208" i="2"/>
  <c r="F207" i="2"/>
  <c r="H207" i="2" s="1"/>
  <c r="H206" i="2"/>
  <c r="F206" i="2"/>
  <c r="F205" i="2"/>
  <c r="H205" i="2" s="1"/>
  <c r="F204" i="2"/>
  <c r="H204" i="2" s="1"/>
  <c r="H203" i="2"/>
  <c r="F203" i="2"/>
  <c r="F202" i="2"/>
  <c r="H202" i="2" s="1"/>
  <c r="F201" i="2"/>
  <c r="H201" i="2" s="1"/>
  <c r="H200" i="2"/>
  <c r="F200" i="2"/>
  <c r="F199" i="2"/>
  <c r="H199" i="2" s="1"/>
  <c r="F198" i="2"/>
  <c r="H198" i="2" s="1"/>
  <c r="H197" i="2"/>
  <c r="F197" i="2"/>
  <c r="H196" i="2"/>
  <c r="F196" i="2"/>
  <c r="F195" i="2"/>
  <c r="H195" i="2" s="1"/>
  <c r="H194" i="2"/>
  <c r="F194" i="2"/>
  <c r="F193" i="2"/>
  <c r="H193" i="2" s="1"/>
  <c r="F192" i="2"/>
  <c r="H192" i="2" s="1"/>
  <c r="H191" i="2"/>
  <c r="F191" i="2"/>
  <c r="H190" i="2"/>
  <c r="F190" i="2"/>
  <c r="F189" i="2"/>
  <c r="H189" i="2" s="1"/>
  <c r="H188" i="2"/>
  <c r="F188" i="2"/>
  <c r="F187" i="2"/>
  <c r="H187" i="2" s="1"/>
  <c r="F186" i="2"/>
  <c r="H186" i="2" s="1"/>
  <c r="H185" i="2"/>
  <c r="F185" i="2"/>
  <c r="H184" i="2"/>
  <c r="F184" i="2"/>
  <c r="F183" i="2"/>
  <c r="H183" i="2" s="1"/>
  <c r="H182" i="2"/>
  <c r="F182" i="2"/>
  <c r="F181" i="2"/>
  <c r="H181" i="2" s="1"/>
  <c r="F180" i="2"/>
  <c r="H180" i="2" s="1"/>
  <c r="H179" i="2"/>
  <c r="F179" i="2"/>
  <c r="H178" i="2"/>
  <c r="F178" i="2"/>
  <c r="F177" i="2"/>
  <c r="H177" i="2" s="1"/>
  <c r="H176" i="2"/>
  <c r="F176" i="2"/>
  <c r="F175" i="2"/>
  <c r="H175" i="2" s="1"/>
  <c r="F174" i="2"/>
  <c r="H174" i="2" s="1"/>
  <c r="H173" i="2"/>
  <c r="F173" i="2"/>
  <c r="H172" i="2"/>
  <c r="F172" i="2"/>
  <c r="F171" i="2"/>
  <c r="H171" i="2" s="1"/>
  <c r="H170" i="2"/>
  <c r="F170" i="2"/>
  <c r="F169" i="2"/>
  <c r="H169" i="2" s="1"/>
  <c r="F168" i="2"/>
  <c r="H168" i="2" s="1"/>
  <c r="H167" i="2"/>
  <c r="F167" i="2"/>
  <c r="H166" i="2"/>
  <c r="F166" i="2"/>
  <c r="F165" i="2"/>
  <c r="H165" i="2" s="1"/>
  <c r="H164" i="2"/>
  <c r="F164" i="2"/>
  <c r="F163" i="2"/>
  <c r="H163" i="2" s="1"/>
  <c r="F162" i="2"/>
  <c r="H162" i="2" s="1"/>
  <c r="H161" i="2"/>
  <c r="F161" i="2"/>
  <c r="H160" i="2"/>
  <c r="F160" i="2"/>
  <c r="F159" i="2"/>
  <c r="H159" i="2" s="1"/>
  <c r="H158" i="2"/>
  <c r="F158" i="2"/>
  <c r="F157" i="2"/>
  <c r="H157" i="2" s="1"/>
  <c r="F156" i="2"/>
  <c r="H156" i="2" s="1"/>
  <c r="H155" i="2"/>
  <c r="F155" i="2"/>
  <c r="H154" i="2"/>
  <c r="F154" i="2"/>
  <c r="F153" i="2"/>
  <c r="H153" i="2" s="1"/>
  <c r="H152" i="2"/>
  <c r="F152" i="2"/>
  <c r="F151" i="2"/>
  <c r="H151" i="2" s="1"/>
  <c r="F150" i="2"/>
  <c r="H150" i="2" s="1"/>
  <c r="H149" i="2"/>
  <c r="F149" i="2"/>
  <c r="H148" i="2"/>
  <c r="F148" i="2"/>
  <c r="F147" i="2"/>
  <c r="H147" i="2" s="1"/>
  <c r="H146" i="2"/>
  <c r="F146" i="2"/>
  <c r="F145" i="2"/>
  <c r="H145" i="2" s="1"/>
  <c r="F144" i="2"/>
  <c r="H144" i="2" s="1"/>
  <c r="H143" i="2"/>
  <c r="F143" i="2"/>
  <c r="H142" i="2"/>
  <c r="F142" i="2"/>
  <c r="F141" i="2"/>
  <c r="H141" i="2" s="1"/>
  <c r="H140" i="2"/>
  <c r="F140" i="2"/>
  <c r="F139" i="2"/>
  <c r="H139" i="2" s="1"/>
  <c r="F138" i="2"/>
  <c r="H138" i="2" s="1"/>
  <c r="H137" i="2"/>
  <c r="F137" i="2"/>
  <c r="H136" i="2"/>
  <c r="F136" i="2"/>
  <c r="F135" i="2"/>
  <c r="H135" i="2" s="1"/>
  <c r="H134" i="2"/>
  <c r="F134" i="2"/>
  <c r="F133" i="2"/>
  <c r="H133" i="2" s="1"/>
  <c r="F132" i="2"/>
  <c r="H132" i="2" s="1"/>
  <c r="H131" i="2"/>
  <c r="F131" i="2"/>
  <c r="H130" i="2"/>
  <c r="F130" i="2"/>
  <c r="F129" i="2"/>
  <c r="H129" i="2" s="1"/>
  <c r="F128" i="2"/>
  <c r="H128" i="2" s="1"/>
  <c r="F127" i="2"/>
  <c r="H127" i="2" s="1"/>
  <c r="F126" i="2"/>
  <c r="H126" i="2" s="1"/>
  <c r="H125" i="2"/>
  <c r="F125" i="2"/>
  <c r="H124" i="2"/>
  <c r="F124" i="2"/>
  <c r="F123" i="2"/>
  <c r="H123" i="2" s="1"/>
  <c r="H122" i="2"/>
  <c r="F122" i="2"/>
  <c r="F121" i="2"/>
  <c r="H121" i="2" s="1"/>
  <c r="F120" i="2"/>
  <c r="H120" i="2" s="1"/>
  <c r="H119" i="2"/>
  <c r="F119" i="2"/>
  <c r="H118" i="2"/>
  <c r="F118" i="2"/>
  <c r="F117" i="2"/>
  <c r="H117" i="2" s="1"/>
  <c r="H116" i="2"/>
  <c r="F116" i="2"/>
  <c r="F115" i="2"/>
  <c r="H115" i="2" s="1"/>
  <c r="F114" i="2"/>
  <c r="H114" i="2" s="1"/>
  <c r="H113" i="2"/>
  <c r="F113" i="2"/>
  <c r="F112" i="2"/>
  <c r="H112" i="2" s="1"/>
  <c r="F111" i="2"/>
  <c r="H111" i="2" s="1"/>
  <c r="H110" i="2"/>
  <c r="F110" i="2"/>
  <c r="F109" i="2"/>
  <c r="H109" i="2" s="1"/>
  <c r="F108" i="2"/>
  <c r="H108" i="2" s="1"/>
  <c r="H107" i="2"/>
  <c r="F107" i="2"/>
  <c r="F106" i="2"/>
  <c r="H106" i="2" s="1"/>
  <c r="F105" i="2"/>
  <c r="H105" i="2" s="1"/>
  <c r="H104" i="2"/>
  <c r="F104" i="2"/>
  <c r="F103" i="2"/>
  <c r="H103" i="2" s="1"/>
  <c r="F102" i="2"/>
  <c r="H102" i="2" s="1"/>
  <c r="H101" i="2"/>
  <c r="F101" i="2"/>
  <c r="F100" i="2"/>
  <c r="H100" i="2" s="1"/>
  <c r="F99" i="2"/>
  <c r="H99" i="2" s="1"/>
  <c r="H98" i="2"/>
  <c r="F98" i="2"/>
  <c r="F97" i="2"/>
  <c r="H97" i="2" s="1"/>
  <c r="F96" i="2"/>
  <c r="H96" i="2" s="1"/>
  <c r="H95" i="2"/>
  <c r="F95" i="2"/>
  <c r="F94" i="2"/>
  <c r="H94" i="2" s="1"/>
  <c r="F93" i="2"/>
  <c r="H93" i="2" s="1"/>
  <c r="H92" i="2"/>
  <c r="F92" i="2"/>
  <c r="F91" i="2"/>
  <c r="H91" i="2" s="1"/>
  <c r="F90" i="2"/>
  <c r="H90" i="2" s="1"/>
  <c r="H89" i="2"/>
  <c r="F89" i="2"/>
  <c r="F88" i="2"/>
  <c r="H88" i="2" s="1"/>
  <c r="F87" i="2"/>
  <c r="H87" i="2" s="1"/>
  <c r="H86" i="2"/>
  <c r="F86" i="2"/>
  <c r="F85" i="2"/>
  <c r="H85" i="2" s="1"/>
  <c r="F84" i="2"/>
  <c r="H84" i="2" s="1"/>
  <c r="H83" i="2"/>
  <c r="F83" i="2"/>
  <c r="F82" i="2"/>
  <c r="H82" i="2" s="1"/>
  <c r="F81" i="2"/>
  <c r="H81" i="2" s="1"/>
  <c r="F80" i="2"/>
  <c r="H80" i="2" s="1"/>
  <c r="F79" i="2"/>
  <c r="H79" i="2" s="1"/>
  <c r="F78" i="2"/>
  <c r="H78" i="2" s="1"/>
  <c r="H77" i="2"/>
  <c r="F77" i="2"/>
  <c r="F76" i="2"/>
  <c r="H76" i="2" s="1"/>
  <c r="F75" i="2"/>
  <c r="H75" i="2" s="1"/>
  <c r="F74" i="2"/>
  <c r="H74" i="2" s="1"/>
  <c r="F73" i="2"/>
  <c r="H73" i="2" s="1"/>
  <c r="F72" i="2"/>
  <c r="H72" i="2" s="1"/>
  <c r="H71" i="2"/>
  <c r="F71" i="2"/>
  <c r="F70" i="2"/>
  <c r="H70" i="2" s="1"/>
  <c r="F69" i="2"/>
  <c r="H69" i="2" s="1"/>
  <c r="F68" i="2"/>
  <c r="H68" i="2" s="1"/>
  <c r="F67" i="2"/>
  <c r="H67" i="2" s="1"/>
  <c r="F66" i="2"/>
  <c r="H66" i="2" s="1"/>
  <c r="H65" i="2"/>
  <c r="F65" i="2"/>
  <c r="F64" i="2"/>
  <c r="H64" i="2" s="1"/>
  <c r="F63" i="2"/>
  <c r="H63" i="2" s="1"/>
  <c r="F62" i="2"/>
  <c r="H62" i="2" s="1"/>
  <c r="F61" i="2"/>
  <c r="H61" i="2" s="1"/>
  <c r="F60" i="2"/>
  <c r="H60" i="2" s="1"/>
  <c r="H59" i="2"/>
  <c r="F59" i="2"/>
  <c r="F58" i="2"/>
  <c r="H58" i="2" s="1"/>
  <c r="F57" i="2"/>
  <c r="H57" i="2" s="1"/>
  <c r="F56" i="2"/>
  <c r="H56" i="2" s="1"/>
  <c r="F55" i="2"/>
  <c r="H55" i="2" s="1"/>
  <c r="F54" i="2"/>
  <c r="H54" i="2" s="1"/>
  <c r="H53" i="2"/>
  <c r="F53" i="2"/>
  <c r="F52" i="2"/>
  <c r="H52" i="2" s="1"/>
  <c r="F51" i="2"/>
  <c r="H51" i="2" s="1"/>
  <c r="F50" i="2"/>
  <c r="H50" i="2" s="1"/>
  <c r="F49" i="2"/>
  <c r="H49" i="2" s="1"/>
  <c r="F48" i="2"/>
  <c r="H48" i="2" s="1"/>
  <c r="H47" i="2"/>
  <c r="F47" i="2"/>
  <c r="F46" i="2"/>
  <c r="H46" i="2" s="1"/>
  <c r="F45" i="2"/>
  <c r="H45" i="2" s="1"/>
  <c r="F44" i="2"/>
  <c r="H44" i="2" s="1"/>
  <c r="F43" i="2"/>
  <c r="H43" i="2" s="1"/>
  <c r="F42" i="2"/>
  <c r="H42" i="2" s="1"/>
  <c r="H41" i="2"/>
  <c r="F41" i="2"/>
  <c r="F40" i="2"/>
  <c r="H40" i="2" s="1"/>
  <c r="F39" i="2"/>
  <c r="H39" i="2" s="1"/>
  <c r="F38" i="2"/>
  <c r="H38" i="2" s="1"/>
  <c r="F37" i="2"/>
  <c r="H37" i="2" s="1"/>
  <c r="F36" i="2"/>
  <c r="H36" i="2" s="1"/>
  <c r="H35" i="2"/>
  <c r="F35" i="2"/>
  <c r="F34" i="2"/>
  <c r="H34" i="2" s="1"/>
  <c r="F33" i="2"/>
  <c r="H33" i="2" s="1"/>
  <c r="F32" i="2"/>
  <c r="H32" i="2" s="1"/>
  <c r="F31" i="2"/>
  <c r="H31" i="2" s="1"/>
  <c r="F30" i="2"/>
  <c r="H30" i="2" s="1"/>
  <c r="H29" i="2"/>
  <c r="F29" i="2"/>
  <c r="F28" i="2"/>
  <c r="H28" i="2" s="1"/>
  <c r="F27" i="2"/>
  <c r="H27" i="2" s="1"/>
  <c r="F26" i="2"/>
  <c r="H26" i="2" s="1"/>
  <c r="F25" i="2"/>
  <c r="H25" i="2" s="1"/>
  <c r="F24" i="2"/>
  <c r="H24" i="2" s="1"/>
  <c r="H23" i="2"/>
  <c r="F23" i="2"/>
  <c r="F22" i="2"/>
  <c r="H22" i="2" s="1"/>
  <c r="F21" i="2"/>
  <c r="H21" i="2" s="1"/>
  <c r="F20" i="2"/>
  <c r="H20" i="2" s="1"/>
  <c r="F19" i="2"/>
  <c r="H19" i="2" s="1"/>
  <c r="F18" i="2"/>
  <c r="H18" i="2" s="1"/>
  <c r="H17" i="2"/>
  <c r="F17" i="2"/>
  <c r="F16" i="2"/>
  <c r="H16" i="2" s="1"/>
  <c r="F15" i="2"/>
  <c r="H15" i="2" s="1"/>
  <c r="F14" i="2"/>
  <c r="H14" i="2" s="1"/>
  <c r="F13" i="2"/>
  <c r="H13" i="2" s="1"/>
  <c r="F12" i="2"/>
  <c r="H12" i="2" s="1"/>
  <c r="H11" i="2"/>
  <c r="F11" i="2"/>
  <c r="F10" i="2"/>
  <c r="H10" i="2" s="1"/>
  <c r="F9" i="2"/>
  <c r="H9" i="2" s="1"/>
  <c r="F8" i="2"/>
  <c r="H8" i="2" s="1"/>
  <c r="F7" i="2"/>
  <c r="H7" i="2" s="1"/>
  <c r="F6" i="2"/>
  <c r="H6" i="2" s="1"/>
  <c r="H5" i="2"/>
  <c r="F5" i="2"/>
  <c r="F4" i="2"/>
  <c r="H4" i="2" s="1"/>
  <c r="F3" i="2"/>
  <c r="H3" i="2" s="1"/>
  <c r="F2" i="2"/>
  <c r="H2" i="2" s="1"/>
</calcChain>
</file>

<file path=xl/sharedStrings.xml><?xml version="1.0" encoding="utf-8"?>
<sst xmlns="http://schemas.openxmlformats.org/spreadsheetml/2006/main" count="328" uniqueCount="250">
  <si>
    <t>DATETIME</t>
  </si>
  <si>
    <t>2021-12-14T00:00:00</t>
  </si>
  <si>
    <t>2021-12-14T00:30:00</t>
  </si>
  <si>
    <t>2021-12-14T01:00:00</t>
  </si>
  <si>
    <t>2021-12-14T01:30:00</t>
  </si>
  <si>
    <t>2021-12-14T02:00:00</t>
  </si>
  <si>
    <t>2021-12-14T02:30:00</t>
  </si>
  <si>
    <t>2021-12-14T03:00:00</t>
  </si>
  <si>
    <t>2021-12-14T03:30:00</t>
  </si>
  <si>
    <t>2021-12-14T04:00:00</t>
  </si>
  <si>
    <t>2021-12-14T04:30:00</t>
  </si>
  <si>
    <t>2021-12-14T05:00:00</t>
  </si>
  <si>
    <t>2021-12-14T05:30:00</t>
  </si>
  <si>
    <t>2021-12-14T06:00:00</t>
  </si>
  <si>
    <t>2021-12-14T06:30:00</t>
  </si>
  <si>
    <t>2021-12-14T07:00:00</t>
  </si>
  <si>
    <t>2021-12-14T07:30:00</t>
  </si>
  <si>
    <t>2021-12-14T08:00:00</t>
  </si>
  <si>
    <t>2021-12-14T08:30:00</t>
  </si>
  <si>
    <t>2021-12-14T09:00:00</t>
  </si>
  <si>
    <t>2021-12-14T09:30:00</t>
  </si>
  <si>
    <t>2021-12-14T10:00:00</t>
  </si>
  <si>
    <t>2021-12-14T10:30:00</t>
  </si>
  <si>
    <t>2021-12-14T11:00:00</t>
  </si>
  <si>
    <t>2021-12-14T11:30:00</t>
  </si>
  <si>
    <t>2021-12-14T12:00:00</t>
  </si>
  <si>
    <t>2021-12-14T12:30:00</t>
  </si>
  <si>
    <t>2021-12-14T13:00:00</t>
  </si>
  <si>
    <t>2021-12-14T13:30:00</t>
  </si>
  <si>
    <t>2021-12-14T14:00:00</t>
  </si>
  <si>
    <t>2021-12-14T14:30:00</t>
  </si>
  <si>
    <t>2021-12-14T15:00:00</t>
  </si>
  <si>
    <t>2021-12-14T15:30:00</t>
  </si>
  <si>
    <t>2021-12-14T16:00:00</t>
  </si>
  <si>
    <t>2021-12-14T16:30:00</t>
  </si>
  <si>
    <t>2021-12-14T17:00:00</t>
  </si>
  <si>
    <t>2021-12-14T17:30:00</t>
  </si>
  <si>
    <t>2021-12-14T18:00:00</t>
  </si>
  <si>
    <t>2021-12-14T18:30:00</t>
  </si>
  <si>
    <t>2021-12-14T19:00:00</t>
  </si>
  <si>
    <t>2021-12-14T19:30:00</t>
  </si>
  <si>
    <t>2021-12-14T20:00:00</t>
  </si>
  <si>
    <t>2021-12-14T20:30:00</t>
  </si>
  <si>
    <t>2021-12-14T21:00:00</t>
  </si>
  <si>
    <t>2021-12-14T21:30:00</t>
  </si>
  <si>
    <t>2021-12-14T22:00:00</t>
  </si>
  <si>
    <t>2021-12-14T22:30:00</t>
  </si>
  <si>
    <t>2021-12-14T23:00:00</t>
  </si>
  <si>
    <t>2021-12-14T23:30:00</t>
  </si>
  <si>
    <t>2021-12-15T00:00:00</t>
  </si>
  <si>
    <t>2021-12-15T00:30:00</t>
  </si>
  <si>
    <t>2021-12-15T01:00:00</t>
  </si>
  <si>
    <t>2021-12-15T01:30:00</t>
  </si>
  <si>
    <t>2021-12-15T02:00:00</t>
  </si>
  <si>
    <t>2021-12-15T02:30:00</t>
  </si>
  <si>
    <t>2021-12-15T03:00:00</t>
  </si>
  <si>
    <t>2021-12-15T03:30:00</t>
  </si>
  <si>
    <t>2021-12-15T04:00:00</t>
  </si>
  <si>
    <t>2021-12-15T04:30:00</t>
  </si>
  <si>
    <t>2021-12-15T05:00:00</t>
  </si>
  <si>
    <t>2021-12-15T05:30:00</t>
  </si>
  <si>
    <t>2021-12-15T06:00:00</t>
  </si>
  <si>
    <t>2021-12-15T06:30:00</t>
  </si>
  <si>
    <t>2021-12-15T07:00:00</t>
  </si>
  <si>
    <t>2021-12-15T07:30:00</t>
  </si>
  <si>
    <t>2021-12-15T08:00:00</t>
  </si>
  <si>
    <t>2021-12-15T08:30:00</t>
  </si>
  <si>
    <t>2021-12-15T09:00:00</t>
  </si>
  <si>
    <t>2021-12-15T09:30:00</t>
  </si>
  <si>
    <t>2021-12-15T10:00:00</t>
  </si>
  <si>
    <t>2021-12-15T10:30:00</t>
  </si>
  <si>
    <t>2021-12-15T11:00:00</t>
  </si>
  <si>
    <t>2021-12-15T11:30:00</t>
  </si>
  <si>
    <t>2021-12-15T12:00:00</t>
  </si>
  <si>
    <t>2021-12-15T12:30:00</t>
  </si>
  <si>
    <t>2021-12-15T13:00:00</t>
  </si>
  <si>
    <t>2021-12-15T13:30:00</t>
  </si>
  <si>
    <t>2021-12-15T14:00:00</t>
  </si>
  <si>
    <t>2021-12-15T14:30:00</t>
  </si>
  <si>
    <t>2021-12-15T15:00:00</t>
  </si>
  <si>
    <t>2021-12-15T15:30:00</t>
  </si>
  <si>
    <t>2021-12-15T16:00:00</t>
  </si>
  <si>
    <t>2021-12-15T16:30:00</t>
  </si>
  <si>
    <t>2021-12-15T17:00:00</t>
  </si>
  <si>
    <t>2021-12-15T17:30:00</t>
  </si>
  <si>
    <t>2021-12-15T18:00:00</t>
  </si>
  <si>
    <t>2021-12-15T18:30:00</t>
  </si>
  <si>
    <t>2021-12-15T19:00:00</t>
  </si>
  <si>
    <t>2021-12-15T19:30:00</t>
  </si>
  <si>
    <t>2021-12-15T20:00:00</t>
  </si>
  <si>
    <t>2021-12-15T20:30:00</t>
  </si>
  <si>
    <t>2021-12-15T21:00:00</t>
  </si>
  <si>
    <t>2021-12-15T21:30:00</t>
  </si>
  <si>
    <t>2021-12-15T22:00:00</t>
  </si>
  <si>
    <t>2021-12-15T22:30:00</t>
  </si>
  <si>
    <t>2021-12-15T23:00:00</t>
  </si>
  <si>
    <t>2021-12-15T23:30:00</t>
  </si>
  <si>
    <t>2021-12-16T00:00:00</t>
  </si>
  <si>
    <t>2021-12-16T00:30:00</t>
  </si>
  <si>
    <t>2021-12-16T01:00:00</t>
  </si>
  <si>
    <t>2021-12-16T01:30:00</t>
  </si>
  <si>
    <t>2021-12-16T02:00:00</t>
  </si>
  <si>
    <t>2021-12-16T02:30:00</t>
  </si>
  <si>
    <t>2021-12-16T03:00:00</t>
  </si>
  <si>
    <t>2021-12-16T03:30:00</t>
  </si>
  <si>
    <t>2021-12-16T04:00:00</t>
  </si>
  <si>
    <t>2021-12-16T04:30:00</t>
  </si>
  <si>
    <t>2021-12-16T05:00:00</t>
  </si>
  <si>
    <t>2021-12-16T05:30:00</t>
  </si>
  <si>
    <t>2021-12-16T06:00:00</t>
  </si>
  <si>
    <t>2021-12-16T06:30:00</t>
  </si>
  <si>
    <t>2021-12-16T07:00:00</t>
  </si>
  <si>
    <t>2021-12-16T07:30:00</t>
  </si>
  <si>
    <t>2021-12-16T08:00:00</t>
  </si>
  <si>
    <t>2021-12-16T08:30:00</t>
  </si>
  <si>
    <t>2021-12-16T09:00:00</t>
  </si>
  <si>
    <t>2021-12-16T09:30:00</t>
  </si>
  <si>
    <t>2021-12-16T10:00:00</t>
  </si>
  <si>
    <t>2021-12-16T10:30:00</t>
  </si>
  <si>
    <t>2021-12-16T11:00:00</t>
  </si>
  <si>
    <t>2021-12-16T11:30:00</t>
  </si>
  <si>
    <t>2021-12-16T12:00:00</t>
  </si>
  <si>
    <t>2021-12-16T12:30:00</t>
  </si>
  <si>
    <t>2021-12-16T13:00:00</t>
  </si>
  <si>
    <t>2021-12-16T13:30:00</t>
  </si>
  <si>
    <t>2021-12-16T14:00:00</t>
  </si>
  <si>
    <t>2021-12-16T14:30:00</t>
  </si>
  <si>
    <t>2021-12-16T15:00:00</t>
  </si>
  <si>
    <t>2021-12-16T15:30:00</t>
  </si>
  <si>
    <t>2021-12-16T16:00:00</t>
  </si>
  <si>
    <t>2021-12-16T16:30:00</t>
  </si>
  <si>
    <t>2021-12-16T17:00:00</t>
  </si>
  <si>
    <t>2021-12-16T17:30:00</t>
  </si>
  <si>
    <t>2021-12-16T18:00:00</t>
  </si>
  <si>
    <t>2021-12-16T18:30:00</t>
  </si>
  <si>
    <t>2021-12-16T19:00:00</t>
  </si>
  <si>
    <t>2021-12-16T19:30:00</t>
  </si>
  <si>
    <t>2021-12-16T20:00:00</t>
  </si>
  <si>
    <t>2021-12-16T20:30:00</t>
  </si>
  <si>
    <t>2021-12-16T21:00:00</t>
  </si>
  <si>
    <t>2021-12-16T21:30:00</t>
  </si>
  <si>
    <t>2021-12-16T22:00:00</t>
  </si>
  <si>
    <t>2021-12-16T22:30:00</t>
  </si>
  <si>
    <t>2021-12-16T23:00:00</t>
  </si>
  <si>
    <t>2021-12-16T23:30:00</t>
  </si>
  <si>
    <t>2021-12-17T00:00:00</t>
  </si>
  <si>
    <t>2021-12-17T00:30:00</t>
  </si>
  <si>
    <t>2021-12-17T01:00:00</t>
  </si>
  <si>
    <t>2021-12-17T01:30:00</t>
  </si>
  <si>
    <t>2021-12-17T02:00:00</t>
  </si>
  <si>
    <t>2021-12-17T02:30:00</t>
  </si>
  <si>
    <t>2021-12-17T03:00:00</t>
  </si>
  <si>
    <t>2021-12-17T03:30:00</t>
  </si>
  <si>
    <t>2021-12-17T04:00:00</t>
  </si>
  <si>
    <t>2021-12-17T04:30:00</t>
  </si>
  <si>
    <t>2021-12-17T05:00:00</t>
  </si>
  <si>
    <t>2021-12-17T05:30:00</t>
  </si>
  <si>
    <t>2021-12-17T06:00:00</t>
  </si>
  <si>
    <t>2021-12-17T06:30:00</t>
  </si>
  <si>
    <t>2021-12-17T07:00:00</t>
  </si>
  <si>
    <t>2021-12-17T07:30:00</t>
  </si>
  <si>
    <t>2021-12-17T08:00:00</t>
  </si>
  <si>
    <t>2021-12-17T08:30:00</t>
  </si>
  <si>
    <t>2021-12-17T09:00:00</t>
  </si>
  <si>
    <t>2021-12-17T09:30:00</t>
  </si>
  <si>
    <t>2021-12-17T10:00:00</t>
  </si>
  <si>
    <t>2021-12-17T10:30:00</t>
  </si>
  <si>
    <t>2021-12-17T11:00:00</t>
  </si>
  <si>
    <t>2021-12-17T11:30:00</t>
  </si>
  <si>
    <t>2021-12-17T12:00:00</t>
  </si>
  <si>
    <t>2021-12-17T12:30:00</t>
  </si>
  <si>
    <t>2021-12-17T13:00:00</t>
  </si>
  <si>
    <t>2021-12-17T13:30:00</t>
  </si>
  <si>
    <t>2021-12-17T14:00:00</t>
  </si>
  <si>
    <t>2021-12-17T14:30:00</t>
  </si>
  <si>
    <t>2021-12-17T15:00:00</t>
  </si>
  <si>
    <t>2021-12-17T15:30:00</t>
  </si>
  <si>
    <t>2021-12-17T16:00:00</t>
  </si>
  <si>
    <t>2021-12-17T16:30:00</t>
  </si>
  <si>
    <t>2021-12-17T17:00:00</t>
  </si>
  <si>
    <t>2021-12-17T17:30:00</t>
  </si>
  <si>
    <t>2021-12-17T18:00:00</t>
  </si>
  <si>
    <t>2021-12-17T18:30:00</t>
  </si>
  <si>
    <t>2021-12-17T19:00:00</t>
  </si>
  <si>
    <t>2021-12-17T19:30:00</t>
  </si>
  <si>
    <t>2021-12-17T20:00:00</t>
  </si>
  <si>
    <t>2021-12-17T20:30:00</t>
  </si>
  <si>
    <t>2021-12-17T21:00:00</t>
  </si>
  <si>
    <t>2021-12-17T21:30:00</t>
  </si>
  <si>
    <t>2021-12-17T22:00:00</t>
  </si>
  <si>
    <t>2021-12-17T22:30:00</t>
  </si>
  <si>
    <t>2021-12-17T23:00:00</t>
  </si>
  <si>
    <t>2021-12-17T23:30:00</t>
  </si>
  <si>
    <t>2021-12-18T00:00:00</t>
  </si>
  <si>
    <t>2021-12-18T00:30:00</t>
  </si>
  <si>
    <t>2021-12-18T01:00:00</t>
  </si>
  <si>
    <t>2021-12-18T01:30:00</t>
  </si>
  <si>
    <t>2021-12-18T02:00:00</t>
  </si>
  <si>
    <t>2021-12-18T02:30:00</t>
  </si>
  <si>
    <t>2021-12-18T03:00:00</t>
  </si>
  <si>
    <t>2021-12-18T03:30:00</t>
  </si>
  <si>
    <t>2021-12-18T04:00:00</t>
  </si>
  <si>
    <t>2021-12-18T04:30:00</t>
  </si>
  <si>
    <t>2021-12-18T05:00:00</t>
  </si>
  <si>
    <t>2021-12-18T05:30:00</t>
  </si>
  <si>
    <t>2021-12-18T06:00:00</t>
  </si>
  <si>
    <t>2021-12-18T06:30:00</t>
  </si>
  <si>
    <t>2021-12-18T07:00:00</t>
  </si>
  <si>
    <t>2021-12-18T07:30:00</t>
  </si>
  <si>
    <t>2021-12-18T08:00:00</t>
  </si>
  <si>
    <t>2021-12-18T08:30:00</t>
  </si>
  <si>
    <t>2021-12-18T09:00:00</t>
  </si>
  <si>
    <t>2021-12-18T09:30:00</t>
  </si>
  <si>
    <t>2021-12-18T10:00:00</t>
  </si>
  <si>
    <t>2021-12-18T10:30:00</t>
  </si>
  <si>
    <t>2021-12-18T11:00:00</t>
  </si>
  <si>
    <t>2021-12-18T11:30:00</t>
  </si>
  <si>
    <t>2021-12-18T12:00:00</t>
  </si>
  <si>
    <t>2021-12-18T12:30:00</t>
  </si>
  <si>
    <t>2021-12-18T13:00:00</t>
  </si>
  <si>
    <t>2021-12-18T13:30:00</t>
  </si>
  <si>
    <t>2021-12-18T14:00:00</t>
  </si>
  <si>
    <t>2021-12-18T14:30:00</t>
  </si>
  <si>
    <t>2021-12-18T15:00:00</t>
  </si>
  <si>
    <t>2021-12-18T15:30:00</t>
  </si>
  <si>
    <t>2021-12-18T16:00:00</t>
  </si>
  <si>
    <t>2021-12-18T16:30:00</t>
  </si>
  <si>
    <t>2021-12-18T17:00:00</t>
  </si>
  <si>
    <t>2021-12-18T17:30:00</t>
  </si>
  <si>
    <t>2021-12-18T18:00:00</t>
  </si>
  <si>
    <t>2021-12-18T18:30:00</t>
  </si>
  <si>
    <t>2021-12-18T19:00:00</t>
  </si>
  <si>
    <t>2021-12-18T19:30:00</t>
  </si>
  <si>
    <t>2021-12-18T20:00:00</t>
  </si>
  <si>
    <t>2021-12-18T20:30:00</t>
  </si>
  <si>
    <t>2021-12-18T21:00:00</t>
  </si>
  <si>
    <t>2021-12-18T21:30:00</t>
  </si>
  <si>
    <t>2021-12-18T22:00:00</t>
  </si>
  <si>
    <t>2021-12-18T22:30:00</t>
  </si>
  <si>
    <t>2021-12-18T23:00:00</t>
  </si>
  <si>
    <t>2021-12-18T23:30:00</t>
  </si>
  <si>
    <t>Wind</t>
  </si>
  <si>
    <t>Demand</t>
  </si>
  <si>
    <t>Reliance</t>
  </si>
  <si>
    <t>Solar</t>
  </si>
  <si>
    <t>Pump</t>
  </si>
  <si>
    <t>Storage</t>
  </si>
  <si>
    <t>Others</t>
  </si>
  <si>
    <t>Charge</t>
  </si>
  <si>
    <t>Discharge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</si>
</sst>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charset val="134"/>
      <scheme val="minor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ptos Narrow"/>
      <family val="2"/>
      <charset val="134"/>
      <scheme val="minor"/>
    </font>
    <font>
      <b/>
      <sz val="13"/>
      <color theme="3"/>
      <name val="Aptos Narrow"/>
      <family val="2"/>
      <charset val="134"/>
      <scheme val="minor"/>
    </font>
    <font>
      <b/>
      <sz val="11"/>
      <color theme="3"/>
      <name val="Aptos Narrow"/>
      <family val="2"/>
      <charset val="134"/>
      <scheme val="minor"/>
    </font>
    <font>
      <sz val="11"/>
      <color rgb="FF006100"/>
      <name val="Aptos Narrow"/>
      <family val="2"/>
      <charset val="134"/>
      <scheme val="minor"/>
    </font>
    <font>
      <sz val="11"/>
      <color rgb="FF9C0006"/>
      <name val="Aptos Narrow"/>
      <family val="2"/>
      <charset val="134"/>
      <scheme val="minor"/>
    </font>
    <font>
      <sz val="11"/>
      <color rgb="FF9C5700"/>
      <name val="Aptos Narrow"/>
      <family val="2"/>
      <charset val="134"/>
      <scheme val="minor"/>
    </font>
    <font>
      <sz val="11"/>
      <color rgb="FF3F3F76"/>
      <name val="Aptos Narrow"/>
      <family val="2"/>
      <charset val="134"/>
      <scheme val="minor"/>
    </font>
    <font>
      <b/>
      <sz val="11"/>
      <color rgb="FF3F3F3F"/>
      <name val="Aptos Narrow"/>
      <family val="2"/>
      <charset val="134"/>
      <scheme val="minor"/>
    </font>
    <font>
      <b/>
      <sz val="11"/>
      <color rgb="FFFA7D00"/>
      <name val="Aptos Narrow"/>
      <family val="2"/>
      <charset val="134"/>
      <scheme val="minor"/>
    </font>
    <font>
      <sz val="11"/>
      <color rgb="FFFA7D00"/>
      <name val="Aptos Narrow"/>
      <family val="2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sz val="11"/>
      <color rgb="FFFF0000"/>
      <name val="Aptos Narrow"/>
      <family val="2"/>
      <charset val="134"/>
      <scheme val="minor"/>
    </font>
    <font>
      <i/>
      <sz val="11"/>
      <color rgb="FF7F7F7F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  <font>
      <sz val="11"/>
      <color rgb="FFC00000"/>
      <name val="Aptos Narrow"/>
      <family val="2"/>
      <charset val="134"/>
      <scheme val="minor"/>
    </font>
    <font>
      <sz val="11"/>
      <color rgb="FF0070C0"/>
      <name val="Aptos Narrow"/>
      <family val="2"/>
      <charset val="134"/>
      <scheme val="minor"/>
    </font>
    <font>
      <sz val="11"/>
      <color rgb="FF00B050"/>
      <name val="Aptos Narrow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42" applyFont="1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百分比" xfId="42" builtinId="5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power_balancing!$B$1</c:f>
              <c:strCache>
                <c:ptCount val="1"/>
                <c:pt idx="0">
                  <c:v>Charge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power_balancing!$B$2:$B$73</c:f>
              <c:numCache>
                <c:formatCode>General</c:formatCode>
                <c:ptCount val="72"/>
                <c:pt idx="0">
                  <c:v>-338</c:v>
                </c:pt>
                <c:pt idx="1">
                  <c:v>-1377.5</c:v>
                </c:pt>
                <c:pt idx="2">
                  <c:v>-1549</c:v>
                </c:pt>
                <c:pt idx="3">
                  <c:v>-1578.5</c:v>
                </c:pt>
                <c:pt idx="4">
                  <c:v>-1493</c:v>
                </c:pt>
                <c:pt idx="5">
                  <c:v>-1285.5</c:v>
                </c:pt>
                <c:pt idx="6">
                  <c:v>-856.5</c:v>
                </c:pt>
                <c:pt idx="7">
                  <c:v>-140</c:v>
                </c:pt>
                <c:pt idx="8">
                  <c:v>-2</c:v>
                </c:pt>
                <c:pt idx="9">
                  <c:v>-5.5</c:v>
                </c:pt>
                <c:pt idx="10">
                  <c:v>-7</c:v>
                </c:pt>
                <c:pt idx="11">
                  <c:v>-9.5</c:v>
                </c:pt>
                <c:pt idx="12">
                  <c:v>-10.5</c:v>
                </c:pt>
                <c:pt idx="13">
                  <c:v>-9</c:v>
                </c:pt>
                <c:pt idx="14">
                  <c:v>-10</c:v>
                </c:pt>
                <c:pt idx="15">
                  <c:v>-11</c:v>
                </c:pt>
                <c:pt idx="16">
                  <c:v>-10.5</c:v>
                </c:pt>
                <c:pt idx="17">
                  <c:v>-14.5</c:v>
                </c:pt>
                <c:pt idx="18">
                  <c:v>-13.5</c:v>
                </c:pt>
                <c:pt idx="19">
                  <c:v>-9.5</c:v>
                </c:pt>
                <c:pt idx="20">
                  <c:v>-8.5</c:v>
                </c:pt>
                <c:pt idx="21">
                  <c:v>-7.5</c:v>
                </c:pt>
                <c:pt idx="22">
                  <c:v>-11</c:v>
                </c:pt>
                <c:pt idx="23">
                  <c:v>-282</c:v>
                </c:pt>
                <c:pt idx="24">
                  <c:v>-573.5</c:v>
                </c:pt>
                <c:pt idx="25">
                  <c:v>-861</c:v>
                </c:pt>
                <c:pt idx="26">
                  <c:v>-1138.5</c:v>
                </c:pt>
                <c:pt idx="27">
                  <c:v>-1156</c:v>
                </c:pt>
                <c:pt idx="28">
                  <c:v>-1008.5</c:v>
                </c:pt>
                <c:pt idx="29">
                  <c:v>-801</c:v>
                </c:pt>
                <c:pt idx="30">
                  <c:v>-74</c:v>
                </c:pt>
                <c:pt idx="31">
                  <c:v>-7.5</c:v>
                </c:pt>
                <c:pt idx="32">
                  <c:v>-13.5</c:v>
                </c:pt>
                <c:pt idx="33">
                  <c:v>-9</c:v>
                </c:pt>
                <c:pt idx="34">
                  <c:v>-10.5</c:v>
                </c:pt>
                <c:pt idx="35">
                  <c:v>-9</c:v>
                </c:pt>
                <c:pt idx="36">
                  <c:v>-9</c:v>
                </c:pt>
                <c:pt idx="37">
                  <c:v>-8.5</c:v>
                </c:pt>
                <c:pt idx="38">
                  <c:v>-7</c:v>
                </c:pt>
                <c:pt idx="39">
                  <c:v>-12.5</c:v>
                </c:pt>
                <c:pt idx="40">
                  <c:v>-8</c:v>
                </c:pt>
                <c:pt idx="41">
                  <c:v>-10.5</c:v>
                </c:pt>
                <c:pt idx="42">
                  <c:v>-7.5</c:v>
                </c:pt>
                <c:pt idx="43">
                  <c:v>-10.5</c:v>
                </c:pt>
                <c:pt idx="44">
                  <c:v>-6.5</c:v>
                </c:pt>
                <c:pt idx="45">
                  <c:v>-7.5</c:v>
                </c:pt>
                <c:pt idx="46">
                  <c:v>-14</c:v>
                </c:pt>
                <c:pt idx="47">
                  <c:v>-525.5</c:v>
                </c:pt>
                <c:pt idx="48">
                  <c:v>-83.5</c:v>
                </c:pt>
                <c:pt idx="49">
                  <c:v>-156</c:v>
                </c:pt>
                <c:pt idx="50">
                  <c:v>-198</c:v>
                </c:pt>
                <c:pt idx="51">
                  <c:v>-372</c:v>
                </c:pt>
                <c:pt idx="52">
                  <c:v>-206</c:v>
                </c:pt>
                <c:pt idx="53">
                  <c:v>-19.5</c:v>
                </c:pt>
                <c:pt idx="54">
                  <c:v>-31.5</c:v>
                </c:pt>
                <c:pt idx="55">
                  <c:v>-14</c:v>
                </c:pt>
                <c:pt idx="56">
                  <c:v>-10</c:v>
                </c:pt>
                <c:pt idx="57">
                  <c:v>-11</c:v>
                </c:pt>
                <c:pt idx="58">
                  <c:v>-7.5</c:v>
                </c:pt>
                <c:pt idx="59">
                  <c:v>-11</c:v>
                </c:pt>
                <c:pt idx="60">
                  <c:v>-10.5</c:v>
                </c:pt>
                <c:pt idx="61">
                  <c:v>-10</c:v>
                </c:pt>
                <c:pt idx="62">
                  <c:v>-11</c:v>
                </c:pt>
                <c:pt idx="63">
                  <c:v>-9.5</c:v>
                </c:pt>
                <c:pt idx="64">
                  <c:v>-3</c:v>
                </c:pt>
                <c:pt idx="65">
                  <c:v>0</c:v>
                </c:pt>
                <c:pt idx="66">
                  <c:v>0</c:v>
                </c:pt>
                <c:pt idx="67">
                  <c:v>-6.5</c:v>
                </c:pt>
                <c:pt idx="68">
                  <c:v>-15.5</c:v>
                </c:pt>
                <c:pt idx="69">
                  <c:v>-13</c:v>
                </c:pt>
                <c:pt idx="70">
                  <c:v>-11</c:v>
                </c:pt>
                <c:pt idx="71">
                  <c:v>-124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A-4A4D-AED1-C3BBB2C6AB3F}"/>
            </c:ext>
          </c:extLst>
        </c:ser>
        <c:ser>
          <c:idx val="1"/>
          <c:order val="1"/>
          <c:tx>
            <c:strRef>
              <c:f>power_balancing!$C$1</c:f>
              <c:strCache>
                <c:ptCount val="1"/>
                <c:pt idx="0">
                  <c:v>Charge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power_balancing!$C$2:$C$73</c:f>
              <c:numCache>
                <c:formatCode>General</c:formatCode>
                <c:ptCount val="72"/>
                <c:pt idx="0">
                  <c:v>338</c:v>
                </c:pt>
                <c:pt idx="1">
                  <c:v>1377.5</c:v>
                </c:pt>
                <c:pt idx="2">
                  <c:v>1549</c:v>
                </c:pt>
                <c:pt idx="3">
                  <c:v>1578.5</c:v>
                </c:pt>
                <c:pt idx="4">
                  <c:v>1493</c:v>
                </c:pt>
                <c:pt idx="5">
                  <c:v>1285.5</c:v>
                </c:pt>
                <c:pt idx="6">
                  <c:v>856.5</c:v>
                </c:pt>
                <c:pt idx="7">
                  <c:v>140</c:v>
                </c:pt>
                <c:pt idx="8">
                  <c:v>2</c:v>
                </c:pt>
                <c:pt idx="9">
                  <c:v>5.5</c:v>
                </c:pt>
                <c:pt idx="10">
                  <c:v>7</c:v>
                </c:pt>
                <c:pt idx="11">
                  <c:v>9.5</c:v>
                </c:pt>
                <c:pt idx="12">
                  <c:v>10.5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10.5</c:v>
                </c:pt>
                <c:pt idx="17">
                  <c:v>14.5</c:v>
                </c:pt>
                <c:pt idx="18">
                  <c:v>13.5</c:v>
                </c:pt>
                <c:pt idx="19">
                  <c:v>9.5</c:v>
                </c:pt>
                <c:pt idx="20">
                  <c:v>8.5</c:v>
                </c:pt>
                <c:pt idx="21">
                  <c:v>7.5</c:v>
                </c:pt>
                <c:pt idx="22">
                  <c:v>11</c:v>
                </c:pt>
                <c:pt idx="23">
                  <c:v>282</c:v>
                </c:pt>
                <c:pt idx="24">
                  <c:v>573.5</c:v>
                </c:pt>
                <c:pt idx="25">
                  <c:v>861</c:v>
                </c:pt>
                <c:pt idx="26">
                  <c:v>1138.5</c:v>
                </c:pt>
                <c:pt idx="27">
                  <c:v>1156</c:v>
                </c:pt>
                <c:pt idx="28">
                  <c:v>1008.5</c:v>
                </c:pt>
                <c:pt idx="29">
                  <c:v>801</c:v>
                </c:pt>
                <c:pt idx="30">
                  <c:v>74</c:v>
                </c:pt>
                <c:pt idx="31">
                  <c:v>7.5</c:v>
                </c:pt>
                <c:pt idx="32">
                  <c:v>13.5</c:v>
                </c:pt>
                <c:pt idx="33">
                  <c:v>9</c:v>
                </c:pt>
                <c:pt idx="34">
                  <c:v>10.5</c:v>
                </c:pt>
                <c:pt idx="35">
                  <c:v>9</c:v>
                </c:pt>
                <c:pt idx="36">
                  <c:v>9</c:v>
                </c:pt>
                <c:pt idx="37">
                  <c:v>8.5</c:v>
                </c:pt>
                <c:pt idx="38">
                  <c:v>7</c:v>
                </c:pt>
                <c:pt idx="39">
                  <c:v>12.5</c:v>
                </c:pt>
                <c:pt idx="40">
                  <c:v>8</c:v>
                </c:pt>
                <c:pt idx="41">
                  <c:v>10.5</c:v>
                </c:pt>
                <c:pt idx="42">
                  <c:v>7.5</c:v>
                </c:pt>
                <c:pt idx="43">
                  <c:v>10.5</c:v>
                </c:pt>
                <c:pt idx="44">
                  <c:v>6.5</c:v>
                </c:pt>
                <c:pt idx="45">
                  <c:v>7.5</c:v>
                </c:pt>
                <c:pt idx="46">
                  <c:v>14</c:v>
                </c:pt>
                <c:pt idx="47">
                  <c:v>525.5</c:v>
                </c:pt>
                <c:pt idx="48">
                  <c:v>83.5</c:v>
                </c:pt>
                <c:pt idx="49">
                  <c:v>156</c:v>
                </c:pt>
                <c:pt idx="50">
                  <c:v>198</c:v>
                </c:pt>
                <c:pt idx="51">
                  <c:v>372</c:v>
                </c:pt>
                <c:pt idx="52">
                  <c:v>206</c:v>
                </c:pt>
                <c:pt idx="53">
                  <c:v>19.5</c:v>
                </c:pt>
                <c:pt idx="54">
                  <c:v>31.5</c:v>
                </c:pt>
                <c:pt idx="55">
                  <c:v>14</c:v>
                </c:pt>
                <c:pt idx="56">
                  <c:v>10</c:v>
                </c:pt>
                <c:pt idx="57">
                  <c:v>11</c:v>
                </c:pt>
                <c:pt idx="58">
                  <c:v>7.5</c:v>
                </c:pt>
                <c:pt idx="59">
                  <c:v>11</c:v>
                </c:pt>
                <c:pt idx="60">
                  <c:v>10.5</c:v>
                </c:pt>
                <c:pt idx="61">
                  <c:v>10</c:v>
                </c:pt>
                <c:pt idx="62">
                  <c:v>11</c:v>
                </c:pt>
                <c:pt idx="63">
                  <c:v>9.5</c:v>
                </c:pt>
                <c:pt idx="64">
                  <c:v>3</c:v>
                </c:pt>
                <c:pt idx="65">
                  <c:v>0</c:v>
                </c:pt>
                <c:pt idx="66">
                  <c:v>0</c:v>
                </c:pt>
                <c:pt idx="67">
                  <c:v>6.5</c:v>
                </c:pt>
                <c:pt idx="68">
                  <c:v>15.5</c:v>
                </c:pt>
                <c:pt idx="69">
                  <c:v>13</c:v>
                </c:pt>
                <c:pt idx="70">
                  <c:v>11</c:v>
                </c:pt>
                <c:pt idx="71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6A-4A4D-AED1-C3BBB2C6AB3F}"/>
            </c:ext>
          </c:extLst>
        </c:ser>
        <c:ser>
          <c:idx val="2"/>
          <c:order val="2"/>
          <c:tx>
            <c:strRef>
              <c:f>power_balancing!$D$1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val>
            <c:numRef>
              <c:f>power_balancing!$D$2:$D$73</c:f>
              <c:numCache>
                <c:formatCode>General</c:formatCode>
                <c:ptCount val="72"/>
                <c:pt idx="0">
                  <c:v>4199</c:v>
                </c:pt>
                <c:pt idx="1">
                  <c:v>4249</c:v>
                </c:pt>
                <c:pt idx="2">
                  <c:v>4572.5</c:v>
                </c:pt>
                <c:pt idx="3">
                  <c:v>4945.5</c:v>
                </c:pt>
                <c:pt idx="4">
                  <c:v>5350.5</c:v>
                </c:pt>
                <c:pt idx="5">
                  <c:v>5792.5</c:v>
                </c:pt>
                <c:pt idx="6">
                  <c:v>6454.5</c:v>
                </c:pt>
                <c:pt idx="7">
                  <c:v>6763.5</c:v>
                </c:pt>
                <c:pt idx="8">
                  <c:v>6828.5</c:v>
                </c:pt>
                <c:pt idx="9">
                  <c:v>6934.5</c:v>
                </c:pt>
                <c:pt idx="10">
                  <c:v>7046.5</c:v>
                </c:pt>
                <c:pt idx="11">
                  <c:v>7741</c:v>
                </c:pt>
                <c:pt idx="12">
                  <c:v>8347</c:v>
                </c:pt>
                <c:pt idx="13">
                  <c:v>9111.5</c:v>
                </c:pt>
                <c:pt idx="14">
                  <c:v>9374.5</c:v>
                </c:pt>
                <c:pt idx="15">
                  <c:v>9859.5</c:v>
                </c:pt>
                <c:pt idx="16">
                  <c:v>10137</c:v>
                </c:pt>
                <c:pt idx="17">
                  <c:v>9946</c:v>
                </c:pt>
                <c:pt idx="18">
                  <c:v>10401.5</c:v>
                </c:pt>
                <c:pt idx="19">
                  <c:v>10539.5</c:v>
                </c:pt>
                <c:pt idx="20">
                  <c:v>10617</c:v>
                </c:pt>
                <c:pt idx="21">
                  <c:v>10494</c:v>
                </c:pt>
                <c:pt idx="22">
                  <c:v>10375</c:v>
                </c:pt>
                <c:pt idx="23">
                  <c:v>10371</c:v>
                </c:pt>
                <c:pt idx="24">
                  <c:v>10328</c:v>
                </c:pt>
                <c:pt idx="25">
                  <c:v>10016</c:v>
                </c:pt>
                <c:pt idx="26">
                  <c:v>9768.5</c:v>
                </c:pt>
                <c:pt idx="27">
                  <c:v>9771.5</c:v>
                </c:pt>
                <c:pt idx="28">
                  <c:v>9810.5</c:v>
                </c:pt>
                <c:pt idx="29">
                  <c:v>9575.5</c:v>
                </c:pt>
                <c:pt idx="30">
                  <c:v>9807.5</c:v>
                </c:pt>
                <c:pt idx="31">
                  <c:v>9982</c:v>
                </c:pt>
                <c:pt idx="32">
                  <c:v>9942</c:v>
                </c:pt>
                <c:pt idx="33">
                  <c:v>9445.5</c:v>
                </c:pt>
                <c:pt idx="34">
                  <c:v>8732.5</c:v>
                </c:pt>
                <c:pt idx="35">
                  <c:v>8613</c:v>
                </c:pt>
                <c:pt idx="36">
                  <c:v>8345</c:v>
                </c:pt>
                <c:pt idx="37">
                  <c:v>8513.5</c:v>
                </c:pt>
                <c:pt idx="38">
                  <c:v>8537.5</c:v>
                </c:pt>
                <c:pt idx="39">
                  <c:v>8249.5</c:v>
                </c:pt>
                <c:pt idx="40">
                  <c:v>7750.5</c:v>
                </c:pt>
                <c:pt idx="41">
                  <c:v>7004.5</c:v>
                </c:pt>
                <c:pt idx="42">
                  <c:v>6191.5</c:v>
                </c:pt>
                <c:pt idx="43">
                  <c:v>5658.5</c:v>
                </c:pt>
                <c:pt idx="44">
                  <c:v>5553</c:v>
                </c:pt>
                <c:pt idx="45">
                  <c:v>5022.5</c:v>
                </c:pt>
                <c:pt idx="46">
                  <c:v>4669</c:v>
                </c:pt>
                <c:pt idx="47">
                  <c:v>3650</c:v>
                </c:pt>
                <c:pt idx="48">
                  <c:v>3094</c:v>
                </c:pt>
                <c:pt idx="49">
                  <c:v>2795.5</c:v>
                </c:pt>
                <c:pt idx="50">
                  <c:v>2533</c:v>
                </c:pt>
                <c:pt idx="51">
                  <c:v>2414</c:v>
                </c:pt>
                <c:pt idx="52">
                  <c:v>2432</c:v>
                </c:pt>
                <c:pt idx="53">
                  <c:v>2320</c:v>
                </c:pt>
                <c:pt idx="54">
                  <c:v>2350.5</c:v>
                </c:pt>
                <c:pt idx="55">
                  <c:v>2408</c:v>
                </c:pt>
                <c:pt idx="56">
                  <c:v>2555</c:v>
                </c:pt>
                <c:pt idx="57">
                  <c:v>2465</c:v>
                </c:pt>
                <c:pt idx="58">
                  <c:v>2614</c:v>
                </c:pt>
                <c:pt idx="59">
                  <c:v>2800</c:v>
                </c:pt>
                <c:pt idx="60">
                  <c:v>3006</c:v>
                </c:pt>
                <c:pt idx="61">
                  <c:v>2649</c:v>
                </c:pt>
                <c:pt idx="62">
                  <c:v>2475.5</c:v>
                </c:pt>
                <c:pt idx="63">
                  <c:v>2464</c:v>
                </c:pt>
                <c:pt idx="64">
                  <c:v>2502.5</c:v>
                </c:pt>
                <c:pt idx="65">
                  <c:v>2462</c:v>
                </c:pt>
                <c:pt idx="66">
                  <c:v>2375</c:v>
                </c:pt>
                <c:pt idx="67">
                  <c:v>2410.5</c:v>
                </c:pt>
                <c:pt idx="68">
                  <c:v>2409</c:v>
                </c:pt>
                <c:pt idx="69">
                  <c:v>2352</c:v>
                </c:pt>
                <c:pt idx="70">
                  <c:v>2200.5</c:v>
                </c:pt>
                <c:pt idx="71">
                  <c:v>1944.5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6A-4A4D-AED1-C3BBB2C6AB3F}"/>
            </c:ext>
          </c:extLst>
        </c:ser>
        <c:ser>
          <c:idx val="3"/>
          <c:order val="3"/>
          <c:tx>
            <c:strRef>
              <c:f>power_balancing!$F$1</c:f>
              <c:strCache>
                <c:ptCount val="1"/>
                <c:pt idx="0">
                  <c:v>Discharge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power_balancing!$F$2:$F$73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102</c:v>
                </c:pt>
                <c:pt idx="8">
                  <c:v>154</c:v>
                </c:pt>
                <c:pt idx="9">
                  <c:v>172</c:v>
                </c:pt>
                <c:pt idx="10">
                  <c:v>283</c:v>
                </c:pt>
                <c:pt idx="11">
                  <c:v>145</c:v>
                </c:pt>
                <c:pt idx="12">
                  <c:v>22</c:v>
                </c:pt>
                <c:pt idx="13">
                  <c:v>0</c:v>
                </c:pt>
                <c:pt idx="14">
                  <c:v>28</c:v>
                </c:pt>
                <c:pt idx="15">
                  <c:v>151</c:v>
                </c:pt>
                <c:pt idx="16">
                  <c:v>623</c:v>
                </c:pt>
                <c:pt idx="17">
                  <c:v>830</c:v>
                </c:pt>
                <c:pt idx="18">
                  <c:v>255</c:v>
                </c:pt>
                <c:pt idx="19">
                  <c:v>85</c:v>
                </c:pt>
                <c:pt idx="20">
                  <c:v>94</c:v>
                </c:pt>
                <c:pt idx="21">
                  <c:v>123</c:v>
                </c:pt>
                <c:pt idx="22">
                  <c:v>71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344</c:v>
                </c:pt>
                <c:pt idx="32">
                  <c:v>29</c:v>
                </c:pt>
                <c:pt idx="33">
                  <c:v>268</c:v>
                </c:pt>
                <c:pt idx="34">
                  <c:v>146</c:v>
                </c:pt>
                <c:pt idx="35">
                  <c:v>38</c:v>
                </c:pt>
                <c:pt idx="36">
                  <c:v>104</c:v>
                </c:pt>
                <c:pt idx="37">
                  <c:v>68</c:v>
                </c:pt>
                <c:pt idx="38">
                  <c:v>44</c:v>
                </c:pt>
                <c:pt idx="39">
                  <c:v>276</c:v>
                </c:pt>
                <c:pt idx="40">
                  <c:v>1141</c:v>
                </c:pt>
                <c:pt idx="41">
                  <c:v>1031</c:v>
                </c:pt>
                <c:pt idx="42">
                  <c:v>1345</c:v>
                </c:pt>
                <c:pt idx="43">
                  <c:v>418</c:v>
                </c:pt>
                <c:pt idx="44">
                  <c:v>219</c:v>
                </c:pt>
                <c:pt idx="45">
                  <c:v>128</c:v>
                </c:pt>
                <c:pt idx="46">
                  <c:v>23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436</c:v>
                </c:pt>
                <c:pt idx="56">
                  <c:v>462</c:v>
                </c:pt>
                <c:pt idx="57">
                  <c:v>318</c:v>
                </c:pt>
                <c:pt idx="58">
                  <c:v>643</c:v>
                </c:pt>
                <c:pt idx="59">
                  <c:v>291</c:v>
                </c:pt>
                <c:pt idx="60">
                  <c:v>223</c:v>
                </c:pt>
                <c:pt idx="61">
                  <c:v>316</c:v>
                </c:pt>
                <c:pt idx="62">
                  <c:v>207</c:v>
                </c:pt>
                <c:pt idx="63">
                  <c:v>939</c:v>
                </c:pt>
                <c:pt idx="64">
                  <c:v>1946</c:v>
                </c:pt>
                <c:pt idx="65">
                  <c:v>2117</c:v>
                </c:pt>
                <c:pt idx="66">
                  <c:v>2133</c:v>
                </c:pt>
                <c:pt idx="67">
                  <c:v>1127</c:v>
                </c:pt>
                <c:pt idx="68">
                  <c:v>617</c:v>
                </c:pt>
                <c:pt idx="69">
                  <c:v>19</c:v>
                </c:pt>
                <c:pt idx="70">
                  <c:v>3</c:v>
                </c:pt>
                <c:pt idx="7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6A-4A4D-AED1-C3BBB2C6AB3F}"/>
            </c:ext>
          </c:extLst>
        </c:ser>
        <c:ser>
          <c:idx val="4"/>
          <c:order val="4"/>
          <c:tx>
            <c:strRef>
              <c:f>power_balancing!$G$1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val>
            <c:numRef>
              <c:f>power_balancing!$G$2:$G$73</c:f>
              <c:numCache>
                <c:formatCode>General</c:formatCode>
                <c:ptCount val="72"/>
                <c:pt idx="0">
                  <c:v>9765.5</c:v>
                </c:pt>
                <c:pt idx="1">
                  <c:v>9121.5</c:v>
                </c:pt>
                <c:pt idx="2">
                  <c:v>7694.5</c:v>
                </c:pt>
                <c:pt idx="3">
                  <c:v>6373.5</c:v>
                </c:pt>
                <c:pt idx="4">
                  <c:v>5456.5</c:v>
                </c:pt>
                <c:pt idx="5">
                  <c:v>6330</c:v>
                </c:pt>
                <c:pt idx="6">
                  <c:v>10266.5</c:v>
                </c:pt>
                <c:pt idx="7">
                  <c:v>15573</c:v>
                </c:pt>
                <c:pt idx="8">
                  <c:v>17981</c:v>
                </c:pt>
                <c:pt idx="9">
                  <c:v>18322.5</c:v>
                </c:pt>
                <c:pt idx="10">
                  <c:v>17959.5</c:v>
                </c:pt>
                <c:pt idx="11">
                  <c:v>17160</c:v>
                </c:pt>
                <c:pt idx="12">
                  <c:v>16908</c:v>
                </c:pt>
                <c:pt idx="13">
                  <c:v>15929.5</c:v>
                </c:pt>
                <c:pt idx="14">
                  <c:v>15484.5</c:v>
                </c:pt>
                <c:pt idx="15">
                  <c:v>15741.5</c:v>
                </c:pt>
                <c:pt idx="16">
                  <c:v>17896</c:v>
                </c:pt>
                <c:pt idx="17">
                  <c:v>18968.5</c:v>
                </c:pt>
                <c:pt idx="18">
                  <c:v>17860</c:v>
                </c:pt>
                <c:pt idx="19">
                  <c:v>15644.5</c:v>
                </c:pt>
                <c:pt idx="20">
                  <c:v>12803.5</c:v>
                </c:pt>
                <c:pt idx="21">
                  <c:v>9487.5</c:v>
                </c:pt>
                <c:pt idx="22">
                  <c:v>5920.5</c:v>
                </c:pt>
                <c:pt idx="23">
                  <c:v>2595</c:v>
                </c:pt>
                <c:pt idx="24">
                  <c:v>1955.5</c:v>
                </c:pt>
                <c:pt idx="25">
                  <c:v>1690.5</c:v>
                </c:pt>
                <c:pt idx="26">
                  <c:v>742.5</c:v>
                </c:pt>
                <c:pt idx="27">
                  <c:v>106</c:v>
                </c:pt>
                <c:pt idx="28">
                  <c:v>-110.5</c:v>
                </c:pt>
                <c:pt idx="29">
                  <c:v>1419</c:v>
                </c:pt>
                <c:pt idx="30">
                  <c:v>5975.5</c:v>
                </c:pt>
                <c:pt idx="31">
                  <c:v>10790.5</c:v>
                </c:pt>
                <c:pt idx="32">
                  <c:v>13482</c:v>
                </c:pt>
                <c:pt idx="33">
                  <c:v>14508.5</c:v>
                </c:pt>
                <c:pt idx="34">
                  <c:v>15049</c:v>
                </c:pt>
                <c:pt idx="35">
                  <c:v>15384.5</c:v>
                </c:pt>
                <c:pt idx="36">
                  <c:v>15876.5</c:v>
                </c:pt>
                <c:pt idx="37">
                  <c:v>15708.5</c:v>
                </c:pt>
                <c:pt idx="38">
                  <c:v>16451</c:v>
                </c:pt>
                <c:pt idx="39">
                  <c:v>17312</c:v>
                </c:pt>
                <c:pt idx="40">
                  <c:v>20127</c:v>
                </c:pt>
                <c:pt idx="41">
                  <c:v>21235</c:v>
                </c:pt>
                <c:pt idx="42">
                  <c:v>21130</c:v>
                </c:pt>
                <c:pt idx="43">
                  <c:v>20563.5</c:v>
                </c:pt>
                <c:pt idx="44">
                  <c:v>18764.5</c:v>
                </c:pt>
                <c:pt idx="45">
                  <c:v>16177</c:v>
                </c:pt>
                <c:pt idx="46">
                  <c:v>13013</c:v>
                </c:pt>
                <c:pt idx="47">
                  <c:v>10567</c:v>
                </c:pt>
                <c:pt idx="48">
                  <c:v>10333</c:v>
                </c:pt>
                <c:pt idx="49">
                  <c:v>10422</c:v>
                </c:pt>
                <c:pt idx="50">
                  <c:v>9786</c:v>
                </c:pt>
                <c:pt idx="51">
                  <c:v>9091.5</c:v>
                </c:pt>
                <c:pt idx="52">
                  <c:v>8756</c:v>
                </c:pt>
                <c:pt idx="53">
                  <c:v>10261</c:v>
                </c:pt>
                <c:pt idx="54">
                  <c:v>14925</c:v>
                </c:pt>
                <c:pt idx="55">
                  <c:v>19855.5</c:v>
                </c:pt>
                <c:pt idx="56">
                  <c:v>21981.5</c:v>
                </c:pt>
                <c:pt idx="57">
                  <c:v>23188</c:v>
                </c:pt>
                <c:pt idx="58">
                  <c:v>23007.5</c:v>
                </c:pt>
                <c:pt idx="59">
                  <c:v>22571.5</c:v>
                </c:pt>
                <c:pt idx="60">
                  <c:v>23099.5</c:v>
                </c:pt>
                <c:pt idx="61">
                  <c:v>23258.5</c:v>
                </c:pt>
                <c:pt idx="62">
                  <c:v>23195</c:v>
                </c:pt>
                <c:pt idx="63">
                  <c:v>22640.5</c:v>
                </c:pt>
                <c:pt idx="64">
                  <c:v>24460</c:v>
                </c:pt>
                <c:pt idx="65">
                  <c:v>25027.5</c:v>
                </c:pt>
                <c:pt idx="66">
                  <c:v>24740.5</c:v>
                </c:pt>
                <c:pt idx="67">
                  <c:v>23929</c:v>
                </c:pt>
                <c:pt idx="68">
                  <c:v>22176.5</c:v>
                </c:pt>
                <c:pt idx="69">
                  <c:v>19981</c:v>
                </c:pt>
                <c:pt idx="70">
                  <c:v>16464.5</c:v>
                </c:pt>
                <c:pt idx="71">
                  <c:v>13282.5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6A-4A4D-AED1-C3BBB2C6A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1517519"/>
        <c:axId val="1521517999"/>
      </c:areaChart>
      <c:catAx>
        <c:axId val="1521517519"/>
        <c:scaling>
          <c:orientation val="minMax"/>
        </c:scaling>
        <c:delete val="1"/>
        <c:axPos val="b"/>
        <c:majorTickMark val="out"/>
        <c:minorTickMark val="none"/>
        <c:tickLblPos val="nextTo"/>
        <c:crossAx val="1521517999"/>
        <c:crosses val="autoZero"/>
        <c:auto val="1"/>
        <c:lblAlgn val="ctr"/>
        <c:lblOffset val="100"/>
        <c:noMultiLvlLbl val="0"/>
      </c:catAx>
      <c:valAx>
        <c:axId val="1521517999"/>
        <c:scaling>
          <c:orientation val="minMax"/>
          <c:max val="30000"/>
          <c:min val="-2000"/>
        </c:scaling>
        <c:delete val="1"/>
        <c:axPos val="l"/>
        <c:numFmt formatCode="General" sourceLinked="1"/>
        <c:majorTickMark val="none"/>
        <c:minorTickMark val="none"/>
        <c:tickLblPos val="nextTo"/>
        <c:crossAx val="1521517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301764</xdr:colOff>
      <xdr:row>28</xdr:row>
      <xdr:rowOff>17532</xdr:rowOff>
    </xdr:from>
    <xdr:to>
      <xdr:col>9</xdr:col>
      <xdr:colOff>5937</xdr:colOff>
      <xdr:row>44</xdr:row>
      <xdr:rowOff>21950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389EB56E-3A07-AB1B-0B23-23C99DD75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17103-077D-40F1-BD04-8472EAEF8A49}">
  <dimension ref="A1:H73"/>
  <sheetViews>
    <sheetView tabSelected="1" zoomScale="115" zoomScaleNormal="115" workbookViewId="0">
      <selection activeCell="L37" sqref="L37"/>
    </sheetView>
  </sheetViews>
  <sheetFormatPr defaultRowHeight="13.5" x14ac:dyDescent="0.15"/>
  <cols>
    <col min="1" max="1" width="21" customWidth="1"/>
    <col min="2" max="3" width="8.375" customWidth="1"/>
    <col min="6" max="6" width="10.5" customWidth="1"/>
  </cols>
  <sheetData>
    <row r="1" spans="1:8" x14ac:dyDescent="0.15">
      <c r="A1" t="s">
        <v>0</v>
      </c>
      <c r="B1" t="s">
        <v>248</v>
      </c>
      <c r="C1" t="s">
        <v>248</v>
      </c>
      <c r="D1" t="s">
        <v>241</v>
      </c>
      <c r="E1" t="s">
        <v>244</v>
      </c>
      <c r="F1" t="s">
        <v>249</v>
      </c>
      <c r="G1" t="s">
        <v>247</v>
      </c>
      <c r="H1" t="s">
        <v>242</v>
      </c>
    </row>
    <row r="2" spans="1:8" x14ac:dyDescent="0.15">
      <c r="A2" s="2" t="s">
        <v>1</v>
      </c>
      <c r="B2" s="2">
        <v>-338</v>
      </c>
      <c r="C2" s="2">
        <f>-B2</f>
        <v>338</v>
      </c>
      <c r="D2" s="2">
        <v>4199</v>
      </c>
      <c r="E2" s="2">
        <v>0</v>
      </c>
      <c r="F2" s="2">
        <v>0</v>
      </c>
      <c r="G2" s="2">
        <f>H2-D2-F2</f>
        <v>9765.5</v>
      </c>
      <c r="H2" s="2">
        <v>13964.5</v>
      </c>
    </row>
    <row r="3" spans="1:8" x14ac:dyDescent="0.15">
      <c r="A3" s="2" t="s">
        <v>3</v>
      </c>
      <c r="B3" s="2">
        <v>-1377.5</v>
      </c>
      <c r="C3" s="2">
        <f t="shared" ref="C3:C66" si="0">-B3</f>
        <v>1377.5</v>
      </c>
      <c r="D3" s="2">
        <v>4249</v>
      </c>
      <c r="E3" s="2">
        <v>0</v>
      </c>
      <c r="F3" s="2">
        <v>0</v>
      </c>
      <c r="G3" s="2">
        <f t="shared" ref="G3:G66" si="1">H3-D3-F3</f>
        <v>9121.5</v>
      </c>
      <c r="H3" s="2">
        <v>13370.5</v>
      </c>
    </row>
    <row r="4" spans="1:8" x14ac:dyDescent="0.15">
      <c r="A4" s="2" t="s">
        <v>5</v>
      </c>
      <c r="B4" s="2">
        <v>-1549</v>
      </c>
      <c r="C4" s="2">
        <f t="shared" si="0"/>
        <v>1549</v>
      </c>
      <c r="D4" s="2">
        <v>4572.5</v>
      </c>
      <c r="E4" s="2">
        <v>0</v>
      </c>
      <c r="F4" s="2">
        <v>0</v>
      </c>
      <c r="G4" s="2">
        <f t="shared" si="1"/>
        <v>7694.5</v>
      </c>
      <c r="H4" s="2">
        <v>12267</v>
      </c>
    </row>
    <row r="5" spans="1:8" x14ac:dyDescent="0.15">
      <c r="A5" s="2" t="s">
        <v>7</v>
      </c>
      <c r="B5" s="2">
        <v>-1578.5</v>
      </c>
      <c r="C5" s="2">
        <f t="shared" si="0"/>
        <v>1578.5</v>
      </c>
      <c r="D5" s="2">
        <v>4945.5</v>
      </c>
      <c r="E5" s="2">
        <v>0</v>
      </c>
      <c r="F5" s="2">
        <v>0</v>
      </c>
      <c r="G5" s="2">
        <f t="shared" si="1"/>
        <v>6373.5</v>
      </c>
      <c r="H5" s="2">
        <v>11319</v>
      </c>
    </row>
    <row r="6" spans="1:8" x14ac:dyDescent="0.15">
      <c r="A6" s="2" t="s">
        <v>9</v>
      </c>
      <c r="B6" s="2">
        <v>-1493</v>
      </c>
      <c r="C6" s="2">
        <f t="shared" si="0"/>
        <v>1493</v>
      </c>
      <c r="D6" s="2">
        <v>5350.5</v>
      </c>
      <c r="E6" s="2">
        <v>0</v>
      </c>
      <c r="F6" s="2">
        <v>0</v>
      </c>
      <c r="G6" s="2">
        <f t="shared" si="1"/>
        <v>5456.5</v>
      </c>
      <c r="H6" s="2">
        <v>10807</v>
      </c>
    </row>
    <row r="7" spans="1:8" x14ac:dyDescent="0.15">
      <c r="A7" s="2" t="s">
        <v>11</v>
      </c>
      <c r="B7" s="2">
        <v>-1285.5</v>
      </c>
      <c r="C7" s="2">
        <f t="shared" si="0"/>
        <v>1285.5</v>
      </c>
      <c r="D7" s="2">
        <v>5792.5</v>
      </c>
      <c r="E7" s="2">
        <v>0</v>
      </c>
      <c r="F7" s="2">
        <v>0</v>
      </c>
      <c r="G7" s="2">
        <f t="shared" si="1"/>
        <v>6330</v>
      </c>
      <c r="H7" s="2">
        <v>12122.5</v>
      </c>
    </row>
    <row r="8" spans="1:8" x14ac:dyDescent="0.15">
      <c r="A8" s="2" t="s">
        <v>13</v>
      </c>
      <c r="B8" s="2">
        <v>-856.5</v>
      </c>
      <c r="C8" s="2">
        <f t="shared" si="0"/>
        <v>856.5</v>
      </c>
      <c r="D8" s="2">
        <v>6454.5</v>
      </c>
      <c r="E8" s="2">
        <v>0</v>
      </c>
      <c r="F8" s="2">
        <v>0</v>
      </c>
      <c r="G8" s="2">
        <f t="shared" si="1"/>
        <v>10266.5</v>
      </c>
      <c r="H8" s="2">
        <v>16721</v>
      </c>
    </row>
    <row r="9" spans="1:8" x14ac:dyDescent="0.15">
      <c r="A9" s="2" t="s">
        <v>15</v>
      </c>
      <c r="B9" s="2">
        <v>-140</v>
      </c>
      <c r="C9" s="2">
        <f t="shared" si="0"/>
        <v>140</v>
      </c>
      <c r="D9" s="2">
        <v>6763.5</v>
      </c>
      <c r="E9" s="2">
        <v>0</v>
      </c>
      <c r="F9" s="2">
        <v>102</v>
      </c>
      <c r="G9" s="2">
        <f t="shared" si="1"/>
        <v>15573</v>
      </c>
      <c r="H9" s="2">
        <v>22438.5</v>
      </c>
    </row>
    <row r="10" spans="1:8" x14ac:dyDescent="0.15">
      <c r="A10" s="2" t="s">
        <v>17</v>
      </c>
      <c r="B10" s="2">
        <v>-2</v>
      </c>
      <c r="C10" s="2">
        <f t="shared" si="0"/>
        <v>2</v>
      </c>
      <c r="D10" s="2">
        <v>6828.5</v>
      </c>
      <c r="E10" s="2">
        <v>35.5</v>
      </c>
      <c r="F10" s="2">
        <v>154</v>
      </c>
      <c r="G10" s="2">
        <f t="shared" si="1"/>
        <v>17981</v>
      </c>
      <c r="H10" s="2">
        <v>24963.5</v>
      </c>
    </row>
    <row r="11" spans="1:8" x14ac:dyDescent="0.15">
      <c r="A11" s="2" t="s">
        <v>19</v>
      </c>
      <c r="B11" s="2">
        <v>-5.5</v>
      </c>
      <c r="C11" s="2">
        <f t="shared" si="0"/>
        <v>5.5</v>
      </c>
      <c r="D11" s="2">
        <v>6934.5</v>
      </c>
      <c r="E11" s="2">
        <v>416.5</v>
      </c>
      <c r="F11" s="2">
        <v>172</v>
      </c>
      <c r="G11" s="2">
        <f t="shared" si="1"/>
        <v>18322.5</v>
      </c>
      <c r="H11" s="2">
        <v>25429</v>
      </c>
    </row>
    <row r="12" spans="1:8" x14ac:dyDescent="0.15">
      <c r="A12" s="2" t="s">
        <v>21</v>
      </c>
      <c r="B12" s="2">
        <v>-7</v>
      </c>
      <c r="C12" s="2">
        <f t="shared" si="0"/>
        <v>7</v>
      </c>
      <c r="D12" s="2">
        <v>7046.5</v>
      </c>
      <c r="E12" s="2">
        <v>1007</v>
      </c>
      <c r="F12" s="2">
        <v>283</v>
      </c>
      <c r="G12" s="2">
        <f t="shared" si="1"/>
        <v>17959.5</v>
      </c>
      <c r="H12" s="2">
        <v>25289</v>
      </c>
    </row>
    <row r="13" spans="1:8" x14ac:dyDescent="0.15">
      <c r="A13" s="2" t="s">
        <v>23</v>
      </c>
      <c r="B13" s="2">
        <v>-9.5</v>
      </c>
      <c r="C13" s="2">
        <f t="shared" si="0"/>
        <v>9.5</v>
      </c>
      <c r="D13" s="2">
        <v>7741</v>
      </c>
      <c r="E13" s="2">
        <v>1268.5</v>
      </c>
      <c r="F13" s="2">
        <v>145</v>
      </c>
      <c r="G13" s="2">
        <f t="shared" si="1"/>
        <v>17160</v>
      </c>
      <c r="H13" s="2">
        <v>25046</v>
      </c>
    </row>
    <row r="14" spans="1:8" x14ac:dyDescent="0.15">
      <c r="A14" s="2" t="s">
        <v>25</v>
      </c>
      <c r="B14" s="2">
        <v>-10.5</v>
      </c>
      <c r="C14" s="2">
        <f t="shared" si="0"/>
        <v>10.5</v>
      </c>
      <c r="D14" s="2">
        <v>8347</v>
      </c>
      <c r="E14" s="2">
        <v>1171.5</v>
      </c>
      <c r="F14" s="2">
        <v>22</v>
      </c>
      <c r="G14" s="2">
        <f t="shared" si="1"/>
        <v>16908</v>
      </c>
      <c r="H14" s="2">
        <v>25277</v>
      </c>
    </row>
    <row r="15" spans="1:8" x14ac:dyDescent="0.15">
      <c r="A15" s="2" t="s">
        <v>27</v>
      </c>
      <c r="B15" s="2">
        <v>-9</v>
      </c>
      <c r="C15" s="2">
        <f t="shared" si="0"/>
        <v>9</v>
      </c>
      <c r="D15" s="2">
        <v>9111.5</v>
      </c>
      <c r="E15" s="2">
        <v>897.5</v>
      </c>
      <c r="F15" s="2">
        <v>0</v>
      </c>
      <c r="G15" s="2">
        <f t="shared" si="1"/>
        <v>15929.5</v>
      </c>
      <c r="H15" s="2">
        <v>25041</v>
      </c>
    </row>
    <row r="16" spans="1:8" x14ac:dyDescent="0.15">
      <c r="A16" s="2" t="s">
        <v>29</v>
      </c>
      <c r="B16" s="2">
        <v>-10</v>
      </c>
      <c r="C16" s="2">
        <f t="shared" si="0"/>
        <v>10</v>
      </c>
      <c r="D16" s="2">
        <v>9374.5</v>
      </c>
      <c r="E16" s="2">
        <v>418</v>
      </c>
      <c r="F16" s="2">
        <v>28</v>
      </c>
      <c r="G16" s="2">
        <f t="shared" si="1"/>
        <v>15484.5</v>
      </c>
      <c r="H16" s="2">
        <v>24887</v>
      </c>
    </row>
    <row r="17" spans="1:8" x14ac:dyDescent="0.15">
      <c r="A17" s="2" t="s">
        <v>31</v>
      </c>
      <c r="B17" s="2">
        <v>-11</v>
      </c>
      <c r="C17" s="2">
        <f t="shared" si="0"/>
        <v>11</v>
      </c>
      <c r="D17" s="2">
        <v>9859.5</v>
      </c>
      <c r="E17" s="2">
        <v>24.5</v>
      </c>
      <c r="F17" s="2">
        <v>151</v>
      </c>
      <c r="G17" s="2">
        <f t="shared" si="1"/>
        <v>15741.5</v>
      </c>
      <c r="H17" s="2">
        <v>25752</v>
      </c>
    </row>
    <row r="18" spans="1:8" x14ac:dyDescent="0.15">
      <c r="A18" s="2" t="s">
        <v>33</v>
      </c>
      <c r="B18" s="2">
        <v>-10.5</v>
      </c>
      <c r="C18" s="2">
        <f t="shared" si="0"/>
        <v>10.5</v>
      </c>
      <c r="D18" s="2">
        <v>10137</v>
      </c>
      <c r="E18" s="2">
        <v>0</v>
      </c>
      <c r="F18" s="2">
        <v>623</v>
      </c>
      <c r="G18" s="2">
        <f t="shared" si="1"/>
        <v>17896</v>
      </c>
      <c r="H18" s="2">
        <v>28656</v>
      </c>
    </row>
    <row r="19" spans="1:8" x14ac:dyDescent="0.15">
      <c r="A19" s="2" t="s">
        <v>35</v>
      </c>
      <c r="B19" s="2">
        <v>-14.5</v>
      </c>
      <c r="C19" s="2">
        <f t="shared" si="0"/>
        <v>14.5</v>
      </c>
      <c r="D19" s="2">
        <v>9946</v>
      </c>
      <c r="E19" s="2">
        <v>0</v>
      </c>
      <c r="F19" s="2">
        <v>830</v>
      </c>
      <c r="G19" s="2">
        <f t="shared" si="1"/>
        <v>18968.5</v>
      </c>
      <c r="H19" s="2">
        <v>29744.5</v>
      </c>
    </row>
    <row r="20" spans="1:8" x14ac:dyDescent="0.15">
      <c r="A20" s="2" t="s">
        <v>37</v>
      </c>
      <c r="B20" s="2">
        <v>-13.5</v>
      </c>
      <c r="C20" s="2">
        <f t="shared" si="0"/>
        <v>13.5</v>
      </c>
      <c r="D20" s="2">
        <v>10401.5</v>
      </c>
      <c r="E20" s="2">
        <v>0</v>
      </c>
      <c r="F20" s="2">
        <v>255</v>
      </c>
      <c r="G20" s="2">
        <f t="shared" si="1"/>
        <v>17860</v>
      </c>
      <c r="H20" s="2">
        <v>28516.5</v>
      </c>
    </row>
    <row r="21" spans="1:8" x14ac:dyDescent="0.15">
      <c r="A21" s="2" t="s">
        <v>39</v>
      </c>
      <c r="B21" s="2">
        <v>-9.5</v>
      </c>
      <c r="C21" s="2">
        <f t="shared" si="0"/>
        <v>9.5</v>
      </c>
      <c r="D21" s="2">
        <v>10539.5</v>
      </c>
      <c r="E21" s="2">
        <v>0</v>
      </c>
      <c r="F21" s="2">
        <v>85</v>
      </c>
      <c r="G21" s="2">
        <f t="shared" si="1"/>
        <v>15644.5</v>
      </c>
      <c r="H21" s="2">
        <v>26269</v>
      </c>
    </row>
    <row r="22" spans="1:8" x14ac:dyDescent="0.15">
      <c r="A22" s="2" t="s">
        <v>41</v>
      </c>
      <c r="B22" s="2">
        <v>-8.5</v>
      </c>
      <c r="C22" s="2">
        <f t="shared" si="0"/>
        <v>8.5</v>
      </c>
      <c r="D22" s="2">
        <v>10617</v>
      </c>
      <c r="E22" s="2">
        <v>0</v>
      </c>
      <c r="F22" s="2">
        <v>94</v>
      </c>
      <c r="G22" s="2">
        <f t="shared" si="1"/>
        <v>12803.5</v>
      </c>
      <c r="H22" s="2">
        <v>23514.5</v>
      </c>
    </row>
    <row r="23" spans="1:8" x14ac:dyDescent="0.15">
      <c r="A23" s="2" t="s">
        <v>43</v>
      </c>
      <c r="B23" s="2">
        <v>-7.5</v>
      </c>
      <c r="C23" s="2">
        <f t="shared" si="0"/>
        <v>7.5</v>
      </c>
      <c r="D23" s="2">
        <v>10494</v>
      </c>
      <c r="E23" s="2">
        <v>0</v>
      </c>
      <c r="F23" s="2">
        <v>123</v>
      </c>
      <c r="G23" s="2">
        <f t="shared" si="1"/>
        <v>9487.5</v>
      </c>
      <c r="H23" s="2">
        <v>20104.5</v>
      </c>
    </row>
    <row r="24" spans="1:8" x14ac:dyDescent="0.15">
      <c r="A24" s="2" t="s">
        <v>45</v>
      </c>
      <c r="B24" s="2">
        <v>-11</v>
      </c>
      <c r="C24" s="2">
        <f t="shared" si="0"/>
        <v>11</v>
      </c>
      <c r="D24" s="2">
        <v>10375</v>
      </c>
      <c r="E24" s="2">
        <v>0</v>
      </c>
      <c r="F24" s="2">
        <v>71</v>
      </c>
      <c r="G24" s="2">
        <f t="shared" si="1"/>
        <v>5920.5</v>
      </c>
      <c r="H24" s="2">
        <v>16366.5</v>
      </c>
    </row>
    <row r="25" spans="1:8" x14ac:dyDescent="0.15">
      <c r="A25" s="2" t="s">
        <v>47</v>
      </c>
      <c r="B25" s="2">
        <v>-282</v>
      </c>
      <c r="C25" s="2">
        <f t="shared" si="0"/>
        <v>282</v>
      </c>
      <c r="D25" s="2">
        <v>10371</v>
      </c>
      <c r="E25" s="2">
        <v>0</v>
      </c>
      <c r="F25" s="2">
        <v>0</v>
      </c>
      <c r="G25" s="2">
        <f t="shared" si="1"/>
        <v>2595</v>
      </c>
      <c r="H25" s="2">
        <v>12966</v>
      </c>
    </row>
    <row r="26" spans="1:8" x14ac:dyDescent="0.15">
      <c r="A26" s="3" t="s">
        <v>49</v>
      </c>
      <c r="B26" s="3">
        <v>-573.5</v>
      </c>
      <c r="C26" s="2">
        <f t="shared" si="0"/>
        <v>573.5</v>
      </c>
      <c r="D26" s="3">
        <v>10328</v>
      </c>
      <c r="E26" s="3">
        <v>0</v>
      </c>
      <c r="F26" s="3">
        <v>0</v>
      </c>
      <c r="G26" s="2">
        <f t="shared" si="1"/>
        <v>1955.5</v>
      </c>
      <c r="H26" s="3">
        <v>12283.5</v>
      </c>
    </row>
    <row r="27" spans="1:8" x14ac:dyDescent="0.15">
      <c r="A27" s="3" t="s">
        <v>51</v>
      </c>
      <c r="B27" s="3">
        <v>-861</v>
      </c>
      <c r="C27" s="2">
        <f t="shared" si="0"/>
        <v>861</v>
      </c>
      <c r="D27" s="3">
        <v>10016</v>
      </c>
      <c r="E27" s="3">
        <v>0</v>
      </c>
      <c r="F27" s="3">
        <v>0</v>
      </c>
      <c r="G27" s="2">
        <f t="shared" si="1"/>
        <v>1690.5</v>
      </c>
      <c r="H27" s="3">
        <v>11706.5</v>
      </c>
    </row>
    <row r="28" spans="1:8" x14ac:dyDescent="0.15">
      <c r="A28" s="3" t="s">
        <v>53</v>
      </c>
      <c r="B28" s="3">
        <v>-1138.5</v>
      </c>
      <c r="C28" s="2">
        <f t="shared" si="0"/>
        <v>1138.5</v>
      </c>
      <c r="D28" s="3">
        <v>9768.5</v>
      </c>
      <c r="E28" s="3">
        <v>0</v>
      </c>
      <c r="F28" s="3">
        <v>0</v>
      </c>
      <c r="G28" s="2">
        <f t="shared" si="1"/>
        <v>742.5</v>
      </c>
      <c r="H28" s="3">
        <v>10511</v>
      </c>
    </row>
    <row r="29" spans="1:8" x14ac:dyDescent="0.15">
      <c r="A29" s="3" t="s">
        <v>55</v>
      </c>
      <c r="B29" s="3">
        <v>-1156</v>
      </c>
      <c r="C29" s="2">
        <f t="shared" si="0"/>
        <v>1156</v>
      </c>
      <c r="D29" s="3">
        <v>9771.5</v>
      </c>
      <c r="E29" s="3">
        <v>0</v>
      </c>
      <c r="F29" s="3">
        <v>0</v>
      </c>
      <c r="G29" s="2">
        <f t="shared" si="1"/>
        <v>106</v>
      </c>
      <c r="H29" s="3">
        <v>9877.5</v>
      </c>
    </row>
    <row r="30" spans="1:8" x14ac:dyDescent="0.15">
      <c r="A30" s="3" t="s">
        <v>57</v>
      </c>
      <c r="B30" s="3">
        <v>-1008.5</v>
      </c>
      <c r="C30" s="2">
        <f t="shared" si="0"/>
        <v>1008.5</v>
      </c>
      <c r="D30" s="3">
        <v>9810.5</v>
      </c>
      <c r="E30" s="3">
        <v>0</v>
      </c>
      <c r="F30" s="3">
        <v>0</v>
      </c>
      <c r="G30" s="2">
        <f t="shared" si="1"/>
        <v>-110.5</v>
      </c>
      <c r="H30" s="3">
        <v>9700</v>
      </c>
    </row>
    <row r="31" spans="1:8" x14ac:dyDescent="0.15">
      <c r="A31" s="3" t="s">
        <v>59</v>
      </c>
      <c r="B31" s="3">
        <v>-801</v>
      </c>
      <c r="C31" s="2">
        <f t="shared" si="0"/>
        <v>801</v>
      </c>
      <c r="D31" s="3">
        <v>9575.5</v>
      </c>
      <c r="E31" s="3">
        <v>0</v>
      </c>
      <c r="F31" s="3">
        <v>0</v>
      </c>
      <c r="G31" s="2">
        <f t="shared" si="1"/>
        <v>1419</v>
      </c>
      <c r="H31" s="3">
        <v>10994.5</v>
      </c>
    </row>
    <row r="32" spans="1:8" x14ac:dyDescent="0.15">
      <c r="A32" s="3" t="s">
        <v>61</v>
      </c>
      <c r="B32" s="3">
        <v>-74</v>
      </c>
      <c r="C32" s="2">
        <f t="shared" si="0"/>
        <v>74</v>
      </c>
      <c r="D32" s="3">
        <v>9807.5</v>
      </c>
      <c r="E32" s="3">
        <v>0</v>
      </c>
      <c r="F32" s="3">
        <v>0</v>
      </c>
      <c r="G32" s="2">
        <f t="shared" si="1"/>
        <v>5975.5</v>
      </c>
      <c r="H32" s="3">
        <v>15783</v>
      </c>
    </row>
    <row r="33" spans="1:8" x14ac:dyDescent="0.15">
      <c r="A33" s="3" t="s">
        <v>63</v>
      </c>
      <c r="B33" s="3">
        <v>-7.5</v>
      </c>
      <c r="C33" s="2">
        <f t="shared" si="0"/>
        <v>7.5</v>
      </c>
      <c r="D33" s="3">
        <v>9982</v>
      </c>
      <c r="E33" s="3">
        <v>0</v>
      </c>
      <c r="F33" s="3">
        <v>344</v>
      </c>
      <c r="G33" s="2">
        <f t="shared" si="1"/>
        <v>10790.5</v>
      </c>
      <c r="H33" s="3">
        <v>21116.5</v>
      </c>
    </row>
    <row r="34" spans="1:8" x14ac:dyDescent="0.15">
      <c r="A34" s="3" t="s">
        <v>65</v>
      </c>
      <c r="B34" s="3">
        <v>-13.5</v>
      </c>
      <c r="C34" s="2">
        <f t="shared" si="0"/>
        <v>13.5</v>
      </c>
      <c r="D34" s="3">
        <v>9942</v>
      </c>
      <c r="E34" s="3">
        <v>41.5</v>
      </c>
      <c r="F34" s="3">
        <v>29</v>
      </c>
      <c r="G34" s="2">
        <f t="shared" si="1"/>
        <v>13482</v>
      </c>
      <c r="H34" s="3">
        <v>23453</v>
      </c>
    </row>
    <row r="35" spans="1:8" x14ac:dyDescent="0.15">
      <c r="A35" s="3" t="s">
        <v>67</v>
      </c>
      <c r="B35" s="3">
        <v>-9</v>
      </c>
      <c r="C35" s="2">
        <f t="shared" si="0"/>
        <v>9</v>
      </c>
      <c r="D35" s="3">
        <v>9445.5</v>
      </c>
      <c r="E35" s="3">
        <v>602</v>
      </c>
      <c r="F35" s="3">
        <v>268</v>
      </c>
      <c r="G35" s="2">
        <f t="shared" si="1"/>
        <v>14508.5</v>
      </c>
      <c r="H35" s="3">
        <v>24222</v>
      </c>
    </row>
    <row r="36" spans="1:8" x14ac:dyDescent="0.15">
      <c r="A36" s="3" t="s">
        <v>69</v>
      </c>
      <c r="B36" s="3">
        <v>-10.5</v>
      </c>
      <c r="C36" s="2">
        <f t="shared" si="0"/>
        <v>10.5</v>
      </c>
      <c r="D36" s="3">
        <v>8732.5</v>
      </c>
      <c r="E36" s="3">
        <v>1379.5</v>
      </c>
      <c r="F36" s="3">
        <v>146</v>
      </c>
      <c r="G36" s="2">
        <f t="shared" si="1"/>
        <v>15049</v>
      </c>
      <c r="H36" s="3">
        <v>23927.5</v>
      </c>
    </row>
    <row r="37" spans="1:8" x14ac:dyDescent="0.15">
      <c r="A37" s="3" t="s">
        <v>71</v>
      </c>
      <c r="B37" s="3">
        <v>-9</v>
      </c>
      <c r="C37" s="2">
        <f t="shared" si="0"/>
        <v>9</v>
      </c>
      <c r="D37" s="3">
        <v>8613</v>
      </c>
      <c r="E37" s="3">
        <v>1628</v>
      </c>
      <c r="F37" s="3">
        <v>38</v>
      </c>
      <c r="G37" s="2">
        <f t="shared" si="1"/>
        <v>15384.5</v>
      </c>
      <c r="H37" s="3">
        <v>24035.5</v>
      </c>
    </row>
    <row r="38" spans="1:8" x14ac:dyDescent="0.15">
      <c r="A38" s="3" t="s">
        <v>73</v>
      </c>
      <c r="B38" s="3">
        <v>-9</v>
      </c>
      <c r="C38" s="2">
        <f t="shared" si="0"/>
        <v>9</v>
      </c>
      <c r="D38" s="3">
        <v>8345</v>
      </c>
      <c r="E38" s="3">
        <v>1400.5</v>
      </c>
      <c r="F38" s="3">
        <v>104</v>
      </c>
      <c r="G38" s="2">
        <f t="shared" si="1"/>
        <v>15876.5</v>
      </c>
      <c r="H38" s="3">
        <v>24325.5</v>
      </c>
    </row>
    <row r="39" spans="1:8" x14ac:dyDescent="0.15">
      <c r="A39" s="3" t="s">
        <v>75</v>
      </c>
      <c r="B39" s="3">
        <v>-8.5</v>
      </c>
      <c r="C39" s="2">
        <f t="shared" si="0"/>
        <v>8.5</v>
      </c>
      <c r="D39" s="3">
        <v>8513.5</v>
      </c>
      <c r="E39" s="3">
        <v>948.5</v>
      </c>
      <c r="F39" s="3">
        <v>68</v>
      </c>
      <c r="G39" s="2">
        <f t="shared" si="1"/>
        <v>15708.5</v>
      </c>
      <c r="H39" s="3">
        <v>24290</v>
      </c>
    </row>
    <row r="40" spans="1:8" x14ac:dyDescent="0.15">
      <c r="A40" s="3" t="s">
        <v>77</v>
      </c>
      <c r="B40" s="3">
        <v>-7</v>
      </c>
      <c r="C40" s="2">
        <f t="shared" si="0"/>
        <v>7</v>
      </c>
      <c r="D40" s="3">
        <v>8537.5</v>
      </c>
      <c r="E40" s="3">
        <v>417</v>
      </c>
      <c r="F40" s="3">
        <v>44</v>
      </c>
      <c r="G40" s="2">
        <f t="shared" si="1"/>
        <v>16451</v>
      </c>
      <c r="H40" s="3">
        <v>25032.5</v>
      </c>
    </row>
    <row r="41" spans="1:8" x14ac:dyDescent="0.15">
      <c r="A41" s="3" t="s">
        <v>79</v>
      </c>
      <c r="B41" s="3">
        <v>-12.5</v>
      </c>
      <c r="C41" s="2">
        <f t="shared" si="0"/>
        <v>12.5</v>
      </c>
      <c r="D41" s="3">
        <v>8249.5</v>
      </c>
      <c r="E41" s="3">
        <v>38</v>
      </c>
      <c r="F41" s="3">
        <v>276</v>
      </c>
      <c r="G41" s="2">
        <f t="shared" si="1"/>
        <v>17312</v>
      </c>
      <c r="H41" s="3">
        <v>25837.5</v>
      </c>
    </row>
    <row r="42" spans="1:8" x14ac:dyDescent="0.15">
      <c r="A42" s="3" t="s">
        <v>81</v>
      </c>
      <c r="B42" s="3">
        <v>-8</v>
      </c>
      <c r="C42" s="2">
        <f t="shared" si="0"/>
        <v>8</v>
      </c>
      <c r="D42" s="3">
        <v>7750.5</v>
      </c>
      <c r="E42" s="3">
        <v>0</v>
      </c>
      <c r="F42" s="3">
        <v>1141</v>
      </c>
      <c r="G42" s="2">
        <f t="shared" si="1"/>
        <v>20127</v>
      </c>
      <c r="H42" s="3">
        <v>29018.5</v>
      </c>
    </row>
    <row r="43" spans="1:8" x14ac:dyDescent="0.15">
      <c r="A43" s="3" t="s">
        <v>83</v>
      </c>
      <c r="B43" s="3">
        <v>-10.5</v>
      </c>
      <c r="C43" s="2">
        <f t="shared" si="0"/>
        <v>10.5</v>
      </c>
      <c r="D43" s="3">
        <v>7004.5</v>
      </c>
      <c r="E43" s="3">
        <v>0</v>
      </c>
      <c r="F43" s="3">
        <v>1031</v>
      </c>
      <c r="G43" s="2">
        <f t="shared" si="1"/>
        <v>21235</v>
      </c>
      <c r="H43" s="3">
        <v>29270.5</v>
      </c>
    </row>
    <row r="44" spans="1:8" x14ac:dyDescent="0.15">
      <c r="A44" s="3" t="s">
        <v>85</v>
      </c>
      <c r="B44" s="3">
        <v>-7.5</v>
      </c>
      <c r="C44" s="2">
        <f t="shared" si="0"/>
        <v>7.5</v>
      </c>
      <c r="D44" s="3">
        <v>6191.5</v>
      </c>
      <c r="E44" s="3">
        <v>0</v>
      </c>
      <c r="F44" s="3">
        <v>1345</v>
      </c>
      <c r="G44" s="2">
        <f t="shared" si="1"/>
        <v>21130</v>
      </c>
      <c r="H44" s="3">
        <v>28666.5</v>
      </c>
    </row>
    <row r="45" spans="1:8" x14ac:dyDescent="0.15">
      <c r="A45" s="3" t="s">
        <v>87</v>
      </c>
      <c r="B45" s="3">
        <v>-10.5</v>
      </c>
      <c r="C45" s="2">
        <f t="shared" si="0"/>
        <v>10.5</v>
      </c>
      <c r="D45" s="3">
        <v>5658.5</v>
      </c>
      <c r="E45" s="3">
        <v>0</v>
      </c>
      <c r="F45" s="3">
        <v>418</v>
      </c>
      <c r="G45" s="2">
        <f t="shared" si="1"/>
        <v>20563.5</v>
      </c>
      <c r="H45" s="3">
        <v>26640</v>
      </c>
    </row>
    <row r="46" spans="1:8" x14ac:dyDescent="0.15">
      <c r="A46" s="3" t="s">
        <v>89</v>
      </c>
      <c r="B46" s="3">
        <v>-6.5</v>
      </c>
      <c r="C46" s="2">
        <f t="shared" si="0"/>
        <v>6.5</v>
      </c>
      <c r="D46" s="3">
        <v>5553</v>
      </c>
      <c r="E46" s="3">
        <v>0</v>
      </c>
      <c r="F46" s="3">
        <v>219</v>
      </c>
      <c r="G46" s="2">
        <f t="shared" si="1"/>
        <v>18764.5</v>
      </c>
      <c r="H46" s="3">
        <v>24536.5</v>
      </c>
    </row>
    <row r="47" spans="1:8" x14ac:dyDescent="0.15">
      <c r="A47" s="3" t="s">
        <v>91</v>
      </c>
      <c r="B47" s="3">
        <v>-7.5</v>
      </c>
      <c r="C47" s="2">
        <f t="shared" si="0"/>
        <v>7.5</v>
      </c>
      <c r="D47" s="3">
        <v>5022.5</v>
      </c>
      <c r="E47" s="3">
        <v>0</v>
      </c>
      <c r="F47" s="3">
        <v>128</v>
      </c>
      <c r="G47" s="2">
        <f t="shared" si="1"/>
        <v>16177</v>
      </c>
      <c r="H47" s="3">
        <v>21327.5</v>
      </c>
    </row>
    <row r="48" spans="1:8" x14ac:dyDescent="0.15">
      <c r="A48" s="3" t="s">
        <v>93</v>
      </c>
      <c r="B48" s="3">
        <v>-14</v>
      </c>
      <c r="C48" s="2">
        <f t="shared" si="0"/>
        <v>14</v>
      </c>
      <c r="D48" s="3">
        <v>4669</v>
      </c>
      <c r="E48" s="3">
        <v>0</v>
      </c>
      <c r="F48" s="3">
        <v>23</v>
      </c>
      <c r="G48" s="2">
        <f t="shared" si="1"/>
        <v>13013</v>
      </c>
      <c r="H48" s="3">
        <v>17705</v>
      </c>
    </row>
    <row r="49" spans="1:8" x14ac:dyDescent="0.15">
      <c r="A49" s="3" t="s">
        <v>95</v>
      </c>
      <c r="B49" s="3">
        <v>-525.5</v>
      </c>
      <c r="C49" s="2">
        <f t="shared" si="0"/>
        <v>525.5</v>
      </c>
      <c r="D49" s="3">
        <v>3650</v>
      </c>
      <c r="E49" s="3">
        <v>0</v>
      </c>
      <c r="F49" s="3">
        <v>0</v>
      </c>
      <c r="G49" s="2">
        <f t="shared" si="1"/>
        <v>10567</v>
      </c>
      <c r="H49" s="3">
        <v>14217</v>
      </c>
    </row>
    <row r="50" spans="1:8" x14ac:dyDescent="0.15">
      <c r="A50" s="4" t="s">
        <v>97</v>
      </c>
      <c r="B50" s="4">
        <v>-83.5</v>
      </c>
      <c r="C50" s="2">
        <f t="shared" si="0"/>
        <v>83.5</v>
      </c>
      <c r="D50" s="4">
        <v>3094</v>
      </c>
      <c r="E50" s="4">
        <v>0</v>
      </c>
      <c r="F50" s="4">
        <v>0</v>
      </c>
      <c r="G50" s="2">
        <f t="shared" si="1"/>
        <v>10333</v>
      </c>
      <c r="H50" s="4">
        <v>13427</v>
      </c>
    </row>
    <row r="51" spans="1:8" x14ac:dyDescent="0.15">
      <c r="A51" s="4" t="s">
        <v>99</v>
      </c>
      <c r="B51" s="4">
        <v>-156</v>
      </c>
      <c r="C51" s="2">
        <f t="shared" si="0"/>
        <v>156</v>
      </c>
      <c r="D51" s="4">
        <v>2795.5</v>
      </c>
      <c r="E51" s="4">
        <v>0</v>
      </c>
      <c r="F51" s="4">
        <v>0</v>
      </c>
      <c r="G51" s="2">
        <f t="shared" si="1"/>
        <v>10422</v>
      </c>
      <c r="H51" s="4">
        <v>13217.5</v>
      </c>
    </row>
    <row r="52" spans="1:8" x14ac:dyDescent="0.15">
      <c r="A52" s="4" t="s">
        <v>101</v>
      </c>
      <c r="B52" s="4">
        <v>-198</v>
      </c>
      <c r="C52" s="2">
        <f t="shared" si="0"/>
        <v>198</v>
      </c>
      <c r="D52" s="4">
        <v>2533</v>
      </c>
      <c r="E52" s="4">
        <v>0</v>
      </c>
      <c r="F52" s="4">
        <v>0</v>
      </c>
      <c r="G52" s="2">
        <f t="shared" si="1"/>
        <v>9786</v>
      </c>
      <c r="H52" s="4">
        <v>12319</v>
      </c>
    </row>
    <row r="53" spans="1:8" x14ac:dyDescent="0.15">
      <c r="A53" s="4" t="s">
        <v>103</v>
      </c>
      <c r="B53" s="4">
        <v>-372</v>
      </c>
      <c r="C53" s="2">
        <f t="shared" si="0"/>
        <v>372</v>
      </c>
      <c r="D53" s="4">
        <v>2414</v>
      </c>
      <c r="E53" s="4">
        <v>0</v>
      </c>
      <c r="F53" s="4">
        <v>0</v>
      </c>
      <c r="G53" s="2">
        <f t="shared" si="1"/>
        <v>9091.5</v>
      </c>
      <c r="H53" s="4">
        <v>11505.5</v>
      </c>
    </row>
    <row r="54" spans="1:8" x14ac:dyDescent="0.15">
      <c r="A54" s="4" t="s">
        <v>105</v>
      </c>
      <c r="B54" s="4">
        <v>-206</v>
      </c>
      <c r="C54" s="2">
        <f t="shared" si="0"/>
        <v>206</v>
      </c>
      <c r="D54" s="4">
        <v>2432</v>
      </c>
      <c r="E54" s="4">
        <v>0</v>
      </c>
      <c r="F54" s="4">
        <v>0</v>
      </c>
      <c r="G54" s="2">
        <f t="shared" si="1"/>
        <v>8756</v>
      </c>
      <c r="H54" s="4">
        <v>11188</v>
      </c>
    </row>
    <row r="55" spans="1:8" x14ac:dyDescent="0.15">
      <c r="A55" s="4" t="s">
        <v>107</v>
      </c>
      <c r="B55" s="4">
        <v>-19.5</v>
      </c>
      <c r="C55" s="2">
        <f t="shared" si="0"/>
        <v>19.5</v>
      </c>
      <c r="D55" s="4">
        <v>2320</v>
      </c>
      <c r="E55" s="4">
        <v>0</v>
      </c>
      <c r="F55" s="4">
        <v>0</v>
      </c>
      <c r="G55" s="2">
        <f t="shared" si="1"/>
        <v>10261</v>
      </c>
      <c r="H55" s="4">
        <v>12581</v>
      </c>
    </row>
    <row r="56" spans="1:8" x14ac:dyDescent="0.15">
      <c r="A56" s="4" t="s">
        <v>109</v>
      </c>
      <c r="B56" s="4">
        <v>-31.5</v>
      </c>
      <c r="C56" s="2">
        <f t="shared" si="0"/>
        <v>31.5</v>
      </c>
      <c r="D56" s="4">
        <v>2350.5</v>
      </c>
      <c r="E56" s="4">
        <v>0</v>
      </c>
      <c r="F56" s="4">
        <v>0</v>
      </c>
      <c r="G56" s="2">
        <f t="shared" si="1"/>
        <v>14925</v>
      </c>
      <c r="H56" s="4">
        <v>17275.5</v>
      </c>
    </row>
    <row r="57" spans="1:8" x14ac:dyDescent="0.15">
      <c r="A57" s="4" t="s">
        <v>111</v>
      </c>
      <c r="B57" s="4">
        <v>-14</v>
      </c>
      <c r="C57" s="2">
        <f t="shared" si="0"/>
        <v>14</v>
      </c>
      <c r="D57" s="4">
        <v>2408</v>
      </c>
      <c r="E57" s="4">
        <v>0</v>
      </c>
      <c r="F57" s="4">
        <v>436</v>
      </c>
      <c r="G57" s="2">
        <f t="shared" si="1"/>
        <v>19855.5</v>
      </c>
      <c r="H57" s="4">
        <v>22699.5</v>
      </c>
    </row>
    <row r="58" spans="1:8" x14ac:dyDescent="0.15">
      <c r="A58" s="4" t="s">
        <v>113</v>
      </c>
      <c r="B58" s="4">
        <v>-10</v>
      </c>
      <c r="C58" s="2">
        <f t="shared" si="0"/>
        <v>10</v>
      </c>
      <c r="D58" s="4">
        <v>2555</v>
      </c>
      <c r="E58" s="4">
        <v>17.5</v>
      </c>
      <c r="F58" s="4">
        <v>462</v>
      </c>
      <c r="G58" s="2">
        <f t="shared" si="1"/>
        <v>21981.5</v>
      </c>
      <c r="H58" s="4">
        <v>24998.5</v>
      </c>
    </row>
    <row r="59" spans="1:8" x14ac:dyDescent="0.15">
      <c r="A59" s="4" t="s">
        <v>115</v>
      </c>
      <c r="B59" s="4">
        <v>-11</v>
      </c>
      <c r="C59" s="2">
        <f t="shared" si="0"/>
        <v>11</v>
      </c>
      <c r="D59" s="4">
        <v>2465</v>
      </c>
      <c r="E59" s="4">
        <v>348.5</v>
      </c>
      <c r="F59" s="4">
        <v>318</v>
      </c>
      <c r="G59" s="2">
        <f t="shared" si="1"/>
        <v>23188</v>
      </c>
      <c r="H59" s="4">
        <v>25971</v>
      </c>
    </row>
    <row r="60" spans="1:8" x14ac:dyDescent="0.15">
      <c r="A60" s="4" t="s">
        <v>117</v>
      </c>
      <c r="B60" s="4">
        <v>-7.5</v>
      </c>
      <c r="C60" s="2">
        <f t="shared" si="0"/>
        <v>7.5</v>
      </c>
      <c r="D60" s="4">
        <v>2614</v>
      </c>
      <c r="E60" s="4">
        <v>845.5</v>
      </c>
      <c r="F60" s="4">
        <v>643</v>
      </c>
      <c r="G60" s="2">
        <f t="shared" si="1"/>
        <v>23007.5</v>
      </c>
      <c r="H60" s="4">
        <v>26264.5</v>
      </c>
    </row>
    <row r="61" spans="1:8" x14ac:dyDescent="0.15">
      <c r="A61" s="4" t="s">
        <v>119</v>
      </c>
      <c r="B61" s="4">
        <v>-11</v>
      </c>
      <c r="C61" s="2">
        <f t="shared" si="0"/>
        <v>11</v>
      </c>
      <c r="D61" s="4">
        <v>2800</v>
      </c>
      <c r="E61" s="4">
        <v>1169.5</v>
      </c>
      <c r="F61" s="4">
        <v>291</v>
      </c>
      <c r="G61" s="2">
        <f t="shared" si="1"/>
        <v>22571.5</v>
      </c>
      <c r="H61" s="4">
        <v>25662.5</v>
      </c>
    </row>
    <row r="62" spans="1:8" x14ac:dyDescent="0.15">
      <c r="A62" s="4" t="s">
        <v>121</v>
      </c>
      <c r="B62" s="4">
        <v>-10.5</v>
      </c>
      <c r="C62" s="2">
        <f t="shared" si="0"/>
        <v>10.5</v>
      </c>
      <c r="D62" s="4">
        <v>3006</v>
      </c>
      <c r="E62" s="4">
        <v>1136.5</v>
      </c>
      <c r="F62" s="4">
        <v>223</v>
      </c>
      <c r="G62" s="2">
        <f t="shared" si="1"/>
        <v>23099.5</v>
      </c>
      <c r="H62" s="4">
        <v>26328.5</v>
      </c>
    </row>
    <row r="63" spans="1:8" x14ac:dyDescent="0.15">
      <c r="A63" s="4" t="s">
        <v>123</v>
      </c>
      <c r="B63" s="4">
        <v>-10</v>
      </c>
      <c r="C63" s="2">
        <f t="shared" si="0"/>
        <v>10</v>
      </c>
      <c r="D63" s="4">
        <v>2649</v>
      </c>
      <c r="E63" s="4">
        <v>1001</v>
      </c>
      <c r="F63" s="4">
        <v>316</v>
      </c>
      <c r="G63" s="2">
        <f t="shared" si="1"/>
        <v>23258.5</v>
      </c>
      <c r="H63" s="4">
        <v>26223.5</v>
      </c>
    </row>
    <row r="64" spans="1:8" x14ac:dyDescent="0.15">
      <c r="A64" s="4" t="s">
        <v>125</v>
      </c>
      <c r="B64" s="4">
        <v>-11</v>
      </c>
      <c r="C64" s="2">
        <f t="shared" si="0"/>
        <v>11</v>
      </c>
      <c r="D64" s="4">
        <v>2475.5</v>
      </c>
      <c r="E64" s="4">
        <v>469.5</v>
      </c>
      <c r="F64" s="4">
        <v>207</v>
      </c>
      <c r="G64" s="2">
        <f t="shared" si="1"/>
        <v>23195</v>
      </c>
      <c r="H64" s="4">
        <v>25877.5</v>
      </c>
    </row>
    <row r="65" spans="1:8" x14ac:dyDescent="0.15">
      <c r="A65" s="4" t="s">
        <v>127</v>
      </c>
      <c r="B65" s="4">
        <v>-9.5</v>
      </c>
      <c r="C65" s="2">
        <f t="shared" si="0"/>
        <v>9.5</v>
      </c>
      <c r="D65" s="4">
        <v>2464</v>
      </c>
      <c r="E65" s="4">
        <v>37</v>
      </c>
      <c r="F65" s="4">
        <v>939</v>
      </c>
      <c r="G65" s="2">
        <f t="shared" si="1"/>
        <v>22640.5</v>
      </c>
      <c r="H65" s="4">
        <v>26043.5</v>
      </c>
    </row>
    <row r="66" spans="1:8" x14ac:dyDescent="0.15">
      <c r="A66" s="4" t="s">
        <v>129</v>
      </c>
      <c r="B66" s="4">
        <v>-3</v>
      </c>
      <c r="C66" s="2">
        <f t="shared" si="0"/>
        <v>3</v>
      </c>
      <c r="D66" s="4">
        <v>2502.5</v>
      </c>
      <c r="E66" s="4">
        <v>0</v>
      </c>
      <c r="F66" s="4">
        <v>1946</v>
      </c>
      <c r="G66" s="2">
        <f t="shared" si="1"/>
        <v>24460</v>
      </c>
      <c r="H66" s="4">
        <v>28908.5</v>
      </c>
    </row>
    <row r="67" spans="1:8" x14ac:dyDescent="0.15">
      <c r="A67" s="4" t="s">
        <v>131</v>
      </c>
      <c r="B67" s="4">
        <v>0</v>
      </c>
      <c r="C67" s="2">
        <f t="shared" ref="C67:C73" si="2">-B67</f>
        <v>0</v>
      </c>
      <c r="D67" s="4">
        <v>2462</v>
      </c>
      <c r="E67" s="4">
        <v>0</v>
      </c>
      <c r="F67" s="4">
        <v>2117</v>
      </c>
      <c r="G67" s="2">
        <f t="shared" ref="G67:G73" si="3">H67-D67-F67</f>
        <v>25027.5</v>
      </c>
      <c r="H67" s="4">
        <v>29606.5</v>
      </c>
    </row>
    <row r="68" spans="1:8" x14ac:dyDescent="0.15">
      <c r="A68" s="4" t="s">
        <v>133</v>
      </c>
      <c r="B68" s="4">
        <v>0</v>
      </c>
      <c r="C68" s="2">
        <f t="shared" si="2"/>
        <v>0</v>
      </c>
      <c r="D68" s="4">
        <v>2375</v>
      </c>
      <c r="E68" s="4">
        <v>0</v>
      </c>
      <c r="F68" s="4">
        <v>2133</v>
      </c>
      <c r="G68" s="2">
        <f t="shared" si="3"/>
        <v>24740.5</v>
      </c>
      <c r="H68" s="4">
        <v>29248.5</v>
      </c>
    </row>
    <row r="69" spans="1:8" x14ac:dyDescent="0.15">
      <c r="A69" s="4" t="s">
        <v>135</v>
      </c>
      <c r="B69" s="4">
        <v>-6.5</v>
      </c>
      <c r="C69" s="2">
        <f t="shared" si="2"/>
        <v>6.5</v>
      </c>
      <c r="D69" s="4">
        <v>2410.5</v>
      </c>
      <c r="E69" s="4">
        <v>0</v>
      </c>
      <c r="F69" s="4">
        <v>1127</v>
      </c>
      <c r="G69" s="2">
        <f t="shared" si="3"/>
        <v>23929</v>
      </c>
      <c r="H69" s="4">
        <v>27466.5</v>
      </c>
    </row>
    <row r="70" spans="1:8" x14ac:dyDescent="0.15">
      <c r="A70" s="4" t="s">
        <v>137</v>
      </c>
      <c r="B70" s="4">
        <v>-15.5</v>
      </c>
      <c r="C70" s="2">
        <f t="shared" si="2"/>
        <v>15.5</v>
      </c>
      <c r="D70" s="4">
        <v>2409</v>
      </c>
      <c r="E70" s="4">
        <v>0</v>
      </c>
      <c r="F70" s="4">
        <v>617</v>
      </c>
      <c r="G70" s="2">
        <f t="shared" si="3"/>
        <v>22176.5</v>
      </c>
      <c r="H70" s="4">
        <v>25202.5</v>
      </c>
    </row>
    <row r="71" spans="1:8" x14ac:dyDescent="0.15">
      <c r="A71" s="4" t="s">
        <v>139</v>
      </c>
      <c r="B71" s="4">
        <v>-13</v>
      </c>
      <c r="C71" s="2">
        <f t="shared" si="2"/>
        <v>13</v>
      </c>
      <c r="D71" s="4">
        <v>2352</v>
      </c>
      <c r="E71" s="4">
        <v>0</v>
      </c>
      <c r="F71" s="4">
        <v>19</v>
      </c>
      <c r="G71" s="2">
        <f t="shared" si="3"/>
        <v>19981</v>
      </c>
      <c r="H71" s="4">
        <v>22352</v>
      </c>
    </row>
    <row r="72" spans="1:8" x14ac:dyDescent="0.15">
      <c r="A72" s="4" t="s">
        <v>141</v>
      </c>
      <c r="B72" s="4">
        <v>-11</v>
      </c>
      <c r="C72" s="2">
        <f t="shared" si="2"/>
        <v>11</v>
      </c>
      <c r="D72" s="4">
        <v>2200.5</v>
      </c>
      <c r="E72" s="4">
        <v>0</v>
      </c>
      <c r="F72" s="4">
        <v>3</v>
      </c>
      <c r="G72" s="2">
        <f t="shared" si="3"/>
        <v>16464.5</v>
      </c>
      <c r="H72" s="4">
        <v>18668</v>
      </c>
    </row>
    <row r="73" spans="1:8" x14ac:dyDescent="0.15">
      <c r="A73" s="4" t="s">
        <v>143</v>
      </c>
      <c r="B73" s="4">
        <v>-124</v>
      </c>
      <c r="C73" s="2">
        <f t="shared" si="2"/>
        <v>124</v>
      </c>
      <c r="D73" s="4">
        <v>1944.5</v>
      </c>
      <c r="E73" s="4">
        <v>0</v>
      </c>
      <c r="F73" s="4">
        <v>8</v>
      </c>
      <c r="G73" s="2">
        <f t="shared" si="3"/>
        <v>13282.5</v>
      </c>
      <c r="H73" s="4">
        <v>15235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FC2F3-0640-4129-9C6F-02C6BF7A39D0}">
  <dimension ref="A1:H241"/>
  <sheetViews>
    <sheetView workbookViewId="0">
      <selection sqref="A1:H241"/>
    </sheetView>
  </sheetViews>
  <sheetFormatPr defaultRowHeight="13.5" x14ac:dyDescent="0.15"/>
  <sheetData>
    <row r="1" spans="1:8" x14ac:dyDescent="0.15">
      <c r="A1" t="s">
        <v>0</v>
      </c>
      <c r="B1" t="s">
        <v>241</v>
      </c>
      <c r="C1" t="s">
        <v>244</v>
      </c>
      <c r="D1" t="s">
        <v>245</v>
      </c>
      <c r="E1" t="s">
        <v>246</v>
      </c>
      <c r="F1" t="s">
        <v>247</v>
      </c>
      <c r="G1" t="s">
        <v>242</v>
      </c>
      <c r="H1" t="s">
        <v>243</v>
      </c>
    </row>
    <row r="2" spans="1:8" x14ac:dyDescent="0.15">
      <c r="A2" t="s">
        <v>1</v>
      </c>
      <c r="B2">
        <v>4117</v>
      </c>
      <c r="C2">
        <v>0</v>
      </c>
      <c r="D2">
        <v>294</v>
      </c>
      <c r="E2">
        <v>0</v>
      </c>
      <c r="F2">
        <f>G2-B2-C2-D2-E2</f>
        <v>21407</v>
      </c>
      <c r="G2">
        <v>25818</v>
      </c>
      <c r="H2" s="1">
        <f>F2/G2</f>
        <v>0.82915020528313577</v>
      </c>
    </row>
    <row r="3" spans="1:8" x14ac:dyDescent="0.15">
      <c r="A3" t="s">
        <v>2</v>
      </c>
      <c r="B3">
        <v>4281</v>
      </c>
      <c r="C3">
        <v>0</v>
      </c>
      <c r="D3">
        <v>382</v>
      </c>
      <c r="E3">
        <v>0</v>
      </c>
      <c r="F3">
        <f t="shared" ref="F3:F66" si="0">G3-B3-C3-D3-E3</f>
        <v>21449</v>
      </c>
      <c r="G3">
        <v>26112</v>
      </c>
      <c r="H3" s="1">
        <f t="shared" ref="H3:H66" si="1">F3/G3</f>
        <v>0.82142310049019607</v>
      </c>
    </row>
    <row r="4" spans="1:8" x14ac:dyDescent="0.15">
      <c r="A4" t="s">
        <v>3</v>
      </c>
      <c r="B4">
        <v>4239</v>
      </c>
      <c r="C4">
        <v>0</v>
      </c>
      <c r="D4">
        <v>1313</v>
      </c>
      <c r="E4">
        <v>0</v>
      </c>
      <c r="F4">
        <f t="shared" si="0"/>
        <v>20112</v>
      </c>
      <c r="G4">
        <v>25664</v>
      </c>
      <c r="H4" s="1">
        <f t="shared" si="1"/>
        <v>0.78366583541147128</v>
      </c>
    </row>
    <row r="5" spans="1:8" x14ac:dyDescent="0.15">
      <c r="A5" t="s">
        <v>4</v>
      </c>
      <c r="B5">
        <v>4259</v>
      </c>
      <c r="C5">
        <v>0</v>
      </c>
      <c r="D5">
        <v>1442</v>
      </c>
      <c r="E5">
        <v>0</v>
      </c>
      <c r="F5">
        <f t="shared" si="0"/>
        <v>19385</v>
      </c>
      <c r="G5">
        <v>25086</v>
      </c>
      <c r="H5" s="1">
        <f t="shared" si="1"/>
        <v>0.7727417683169896</v>
      </c>
    </row>
    <row r="6" spans="1:8" x14ac:dyDescent="0.15">
      <c r="A6" t="s">
        <v>5</v>
      </c>
      <c r="B6">
        <v>4443</v>
      </c>
      <c r="C6">
        <v>0</v>
      </c>
      <c r="D6">
        <v>1488</v>
      </c>
      <c r="E6">
        <v>0</v>
      </c>
      <c r="F6">
        <f t="shared" si="0"/>
        <v>18488</v>
      </c>
      <c r="G6">
        <v>24419</v>
      </c>
      <c r="H6" s="1">
        <f t="shared" si="1"/>
        <v>0.75711536098939347</v>
      </c>
    </row>
    <row r="7" spans="1:8" x14ac:dyDescent="0.15">
      <c r="A7" t="s">
        <v>6</v>
      </c>
      <c r="B7">
        <v>4702</v>
      </c>
      <c r="C7">
        <v>0</v>
      </c>
      <c r="D7">
        <v>1610</v>
      </c>
      <c r="E7">
        <v>0</v>
      </c>
      <c r="F7">
        <f t="shared" si="0"/>
        <v>17820</v>
      </c>
      <c r="G7">
        <v>24132</v>
      </c>
      <c r="H7" s="1">
        <f t="shared" si="1"/>
        <v>0.73843858776728</v>
      </c>
    </row>
    <row r="8" spans="1:8" x14ac:dyDescent="0.15">
      <c r="A8" t="s">
        <v>7</v>
      </c>
      <c r="B8">
        <v>4873</v>
      </c>
      <c r="C8">
        <v>0</v>
      </c>
      <c r="D8">
        <v>1608</v>
      </c>
      <c r="E8">
        <v>0</v>
      </c>
      <c r="F8">
        <f t="shared" si="0"/>
        <v>17111</v>
      </c>
      <c r="G8">
        <v>23592</v>
      </c>
      <c r="H8" s="1">
        <f t="shared" si="1"/>
        <v>0.72528823329942349</v>
      </c>
    </row>
    <row r="9" spans="1:8" x14ac:dyDescent="0.15">
      <c r="A9" t="s">
        <v>8</v>
      </c>
      <c r="B9">
        <v>5018</v>
      </c>
      <c r="C9">
        <v>0</v>
      </c>
      <c r="D9">
        <v>1549</v>
      </c>
      <c r="E9">
        <v>0</v>
      </c>
      <c r="F9">
        <f t="shared" si="0"/>
        <v>16504</v>
      </c>
      <c r="G9">
        <v>23071</v>
      </c>
      <c r="H9" s="1">
        <f t="shared" si="1"/>
        <v>0.71535694161501451</v>
      </c>
    </row>
    <row r="10" spans="1:8" x14ac:dyDescent="0.15">
      <c r="A10" t="s">
        <v>9</v>
      </c>
      <c r="B10">
        <v>5485</v>
      </c>
      <c r="C10">
        <v>0</v>
      </c>
      <c r="D10">
        <v>1519</v>
      </c>
      <c r="E10">
        <v>0</v>
      </c>
      <c r="F10">
        <f t="shared" si="0"/>
        <v>15849</v>
      </c>
      <c r="G10">
        <v>22853</v>
      </c>
      <c r="H10" s="1">
        <f t="shared" si="1"/>
        <v>0.6935194504003851</v>
      </c>
    </row>
    <row r="11" spans="1:8" x14ac:dyDescent="0.15">
      <c r="A11" t="s">
        <v>10</v>
      </c>
      <c r="B11">
        <v>5216</v>
      </c>
      <c r="C11">
        <v>0</v>
      </c>
      <c r="D11">
        <v>1467</v>
      </c>
      <c r="E11">
        <v>0</v>
      </c>
      <c r="F11">
        <f t="shared" si="0"/>
        <v>16111</v>
      </c>
      <c r="G11">
        <v>22794</v>
      </c>
      <c r="H11" s="1">
        <f t="shared" si="1"/>
        <v>0.70680880933579016</v>
      </c>
    </row>
    <row r="12" spans="1:8" x14ac:dyDescent="0.15">
      <c r="A12" t="s">
        <v>11</v>
      </c>
      <c r="B12">
        <v>5507</v>
      </c>
      <c r="C12">
        <v>0</v>
      </c>
      <c r="D12">
        <v>1213</v>
      </c>
      <c r="E12">
        <v>0</v>
      </c>
      <c r="F12">
        <f t="shared" si="0"/>
        <v>16919</v>
      </c>
      <c r="G12">
        <v>23639</v>
      </c>
      <c r="H12" s="1">
        <f t="shared" si="1"/>
        <v>0.71572401539828245</v>
      </c>
    </row>
    <row r="13" spans="1:8" x14ac:dyDescent="0.15">
      <c r="A13" t="s">
        <v>12</v>
      </c>
      <c r="B13">
        <v>6078</v>
      </c>
      <c r="C13">
        <v>0</v>
      </c>
      <c r="D13">
        <v>1358</v>
      </c>
      <c r="E13">
        <v>0</v>
      </c>
      <c r="F13">
        <f t="shared" si="0"/>
        <v>17211</v>
      </c>
      <c r="G13">
        <v>24647</v>
      </c>
      <c r="H13" s="1">
        <f t="shared" si="1"/>
        <v>0.69829999594271108</v>
      </c>
    </row>
    <row r="14" spans="1:8" x14ac:dyDescent="0.15">
      <c r="A14" t="s">
        <v>13</v>
      </c>
      <c r="B14">
        <v>6384</v>
      </c>
      <c r="C14">
        <v>0</v>
      </c>
      <c r="D14">
        <v>942</v>
      </c>
      <c r="E14">
        <v>0</v>
      </c>
      <c r="F14">
        <f t="shared" si="0"/>
        <v>20086</v>
      </c>
      <c r="G14">
        <v>27412</v>
      </c>
      <c r="H14" s="1">
        <f t="shared" si="1"/>
        <v>0.7327447833065811</v>
      </c>
    </row>
    <row r="15" spans="1:8" x14ac:dyDescent="0.15">
      <c r="A15" t="s">
        <v>14</v>
      </c>
      <c r="B15">
        <v>6525</v>
      </c>
      <c r="C15">
        <v>0</v>
      </c>
      <c r="D15">
        <v>771</v>
      </c>
      <c r="E15">
        <v>0</v>
      </c>
      <c r="F15">
        <f t="shared" si="0"/>
        <v>22783</v>
      </c>
      <c r="G15">
        <v>30079</v>
      </c>
      <c r="H15" s="1">
        <f t="shared" si="1"/>
        <v>0.75743874463911698</v>
      </c>
    </row>
    <row r="16" spans="1:8" x14ac:dyDescent="0.15">
      <c r="A16" t="s">
        <v>15</v>
      </c>
      <c r="B16">
        <v>6743</v>
      </c>
      <c r="C16">
        <v>0</v>
      </c>
      <c r="D16">
        <v>274</v>
      </c>
      <c r="E16">
        <v>0</v>
      </c>
      <c r="F16">
        <f t="shared" si="0"/>
        <v>26427</v>
      </c>
      <c r="G16">
        <v>33444</v>
      </c>
      <c r="H16" s="1">
        <f t="shared" si="1"/>
        <v>0.79018658055256552</v>
      </c>
    </row>
    <row r="17" spans="1:8" x14ac:dyDescent="0.15">
      <c r="A17" t="s">
        <v>16</v>
      </c>
      <c r="B17">
        <v>6784</v>
      </c>
      <c r="C17">
        <v>0</v>
      </c>
      <c r="D17">
        <v>6</v>
      </c>
      <c r="E17">
        <v>204</v>
      </c>
      <c r="F17">
        <f t="shared" si="0"/>
        <v>28496</v>
      </c>
      <c r="G17">
        <v>35490</v>
      </c>
      <c r="H17" s="1">
        <f t="shared" si="1"/>
        <v>0.80293040293040296</v>
      </c>
    </row>
    <row r="18" spans="1:8" x14ac:dyDescent="0.15">
      <c r="A18" t="s">
        <v>17</v>
      </c>
      <c r="B18">
        <v>6701</v>
      </c>
      <c r="C18">
        <v>1</v>
      </c>
      <c r="D18">
        <v>2</v>
      </c>
      <c r="E18">
        <v>160</v>
      </c>
      <c r="F18">
        <f t="shared" si="0"/>
        <v>29930</v>
      </c>
      <c r="G18">
        <v>36794</v>
      </c>
      <c r="H18" s="1">
        <f t="shared" si="1"/>
        <v>0.81344784475729737</v>
      </c>
    </row>
    <row r="19" spans="1:8" x14ac:dyDescent="0.15">
      <c r="A19" t="s">
        <v>18</v>
      </c>
      <c r="B19">
        <v>6956</v>
      </c>
      <c r="C19">
        <v>70</v>
      </c>
      <c r="D19">
        <v>2</v>
      </c>
      <c r="E19">
        <v>148</v>
      </c>
      <c r="F19">
        <f t="shared" si="0"/>
        <v>30022</v>
      </c>
      <c r="G19">
        <v>37198</v>
      </c>
      <c r="H19" s="1">
        <f t="shared" si="1"/>
        <v>0.80708640249475783</v>
      </c>
    </row>
    <row r="20" spans="1:8" x14ac:dyDescent="0.15">
      <c r="A20" t="s">
        <v>19</v>
      </c>
      <c r="B20">
        <v>7028</v>
      </c>
      <c r="C20">
        <v>251</v>
      </c>
      <c r="D20">
        <v>5</v>
      </c>
      <c r="E20">
        <v>174</v>
      </c>
      <c r="F20">
        <f t="shared" si="0"/>
        <v>30029</v>
      </c>
      <c r="G20">
        <v>37487</v>
      </c>
      <c r="H20" s="1">
        <f t="shared" si="1"/>
        <v>0.80105103102408837</v>
      </c>
    </row>
    <row r="21" spans="1:8" x14ac:dyDescent="0.15">
      <c r="A21" t="s">
        <v>20</v>
      </c>
      <c r="B21">
        <v>6841</v>
      </c>
      <c r="C21">
        <v>582</v>
      </c>
      <c r="D21">
        <v>6</v>
      </c>
      <c r="E21">
        <v>170</v>
      </c>
      <c r="F21">
        <f t="shared" si="0"/>
        <v>29845</v>
      </c>
      <c r="G21">
        <v>37444</v>
      </c>
      <c r="H21" s="1">
        <f t="shared" si="1"/>
        <v>0.79705693836128622</v>
      </c>
    </row>
    <row r="22" spans="1:8" x14ac:dyDescent="0.15">
      <c r="A22" t="s">
        <v>21</v>
      </c>
      <c r="B22">
        <v>7071</v>
      </c>
      <c r="C22">
        <v>930</v>
      </c>
      <c r="D22">
        <v>7</v>
      </c>
      <c r="E22">
        <v>266</v>
      </c>
      <c r="F22">
        <f t="shared" si="0"/>
        <v>29157</v>
      </c>
      <c r="G22">
        <v>37431</v>
      </c>
      <c r="H22" s="1">
        <f t="shared" si="1"/>
        <v>0.77895327402420456</v>
      </c>
    </row>
    <row r="23" spans="1:8" x14ac:dyDescent="0.15">
      <c r="A23" t="s">
        <v>22</v>
      </c>
      <c r="B23">
        <v>7022</v>
      </c>
      <c r="C23">
        <v>1084</v>
      </c>
      <c r="D23">
        <v>7</v>
      </c>
      <c r="E23">
        <v>300</v>
      </c>
      <c r="F23">
        <f t="shared" si="0"/>
        <v>28815</v>
      </c>
      <c r="G23">
        <v>37228</v>
      </c>
      <c r="H23" s="1">
        <f t="shared" si="1"/>
        <v>0.7740141828731063</v>
      </c>
    </row>
    <row r="24" spans="1:8" x14ac:dyDescent="0.15">
      <c r="A24" t="s">
        <v>23</v>
      </c>
      <c r="B24">
        <v>7440</v>
      </c>
      <c r="C24">
        <v>1269</v>
      </c>
      <c r="D24">
        <v>8</v>
      </c>
      <c r="E24">
        <v>290</v>
      </c>
      <c r="F24">
        <f t="shared" si="0"/>
        <v>28137</v>
      </c>
      <c r="G24">
        <v>37144</v>
      </c>
      <c r="H24" s="1">
        <f t="shared" si="1"/>
        <v>0.75751130734438943</v>
      </c>
    </row>
    <row r="25" spans="1:8" x14ac:dyDescent="0.15">
      <c r="A25" t="s">
        <v>24</v>
      </c>
      <c r="B25">
        <v>8042</v>
      </c>
      <c r="C25">
        <v>1268</v>
      </c>
      <c r="D25">
        <v>11</v>
      </c>
      <c r="E25">
        <v>0</v>
      </c>
      <c r="F25">
        <f t="shared" si="0"/>
        <v>27716</v>
      </c>
      <c r="G25">
        <v>37037</v>
      </c>
      <c r="H25" s="1">
        <f t="shared" si="1"/>
        <v>0.74833274833274832</v>
      </c>
    </row>
    <row r="26" spans="1:8" x14ac:dyDescent="0.15">
      <c r="A26" t="s">
        <v>25</v>
      </c>
      <c r="B26">
        <v>8210</v>
      </c>
      <c r="C26">
        <v>1200</v>
      </c>
      <c r="D26">
        <v>10</v>
      </c>
      <c r="E26">
        <v>44</v>
      </c>
      <c r="F26">
        <f t="shared" si="0"/>
        <v>27860</v>
      </c>
      <c r="G26">
        <v>37324</v>
      </c>
      <c r="H26" s="1">
        <f t="shared" si="1"/>
        <v>0.74643660915228804</v>
      </c>
    </row>
    <row r="27" spans="1:8" x14ac:dyDescent="0.15">
      <c r="A27" t="s">
        <v>26</v>
      </c>
      <c r="B27">
        <v>8484</v>
      </c>
      <c r="C27">
        <v>1143</v>
      </c>
      <c r="D27">
        <v>11</v>
      </c>
      <c r="E27">
        <v>0</v>
      </c>
      <c r="F27">
        <f t="shared" si="0"/>
        <v>27689</v>
      </c>
      <c r="G27">
        <v>37327</v>
      </c>
      <c r="H27" s="1">
        <f t="shared" si="1"/>
        <v>0.74179548316232213</v>
      </c>
    </row>
    <row r="28" spans="1:8" x14ac:dyDescent="0.15">
      <c r="A28" t="s">
        <v>27</v>
      </c>
      <c r="B28">
        <v>8991</v>
      </c>
      <c r="C28">
        <v>924</v>
      </c>
      <c r="D28">
        <v>10</v>
      </c>
      <c r="E28">
        <v>0</v>
      </c>
      <c r="F28">
        <f t="shared" si="0"/>
        <v>27385</v>
      </c>
      <c r="G28">
        <v>37310</v>
      </c>
      <c r="H28" s="1">
        <f t="shared" si="1"/>
        <v>0.73398552666845351</v>
      </c>
    </row>
    <row r="29" spans="1:8" x14ac:dyDescent="0.15">
      <c r="A29" t="s">
        <v>28</v>
      </c>
      <c r="B29">
        <v>9232</v>
      </c>
      <c r="C29">
        <v>871</v>
      </c>
      <c r="D29">
        <v>8</v>
      </c>
      <c r="E29">
        <v>0</v>
      </c>
      <c r="F29">
        <f t="shared" si="0"/>
        <v>26766</v>
      </c>
      <c r="G29">
        <v>36877</v>
      </c>
      <c r="H29" s="1">
        <f t="shared" si="1"/>
        <v>0.72581826070450417</v>
      </c>
    </row>
    <row r="30" spans="1:8" x14ac:dyDescent="0.15">
      <c r="A30" t="s">
        <v>29</v>
      </c>
      <c r="B30">
        <v>9270</v>
      </c>
      <c r="C30">
        <v>621</v>
      </c>
      <c r="D30">
        <v>9</v>
      </c>
      <c r="E30">
        <v>56</v>
      </c>
      <c r="F30">
        <f t="shared" si="0"/>
        <v>26991</v>
      </c>
      <c r="G30">
        <v>36947</v>
      </c>
      <c r="H30" s="1">
        <f t="shared" si="1"/>
        <v>0.73053292554199256</v>
      </c>
    </row>
    <row r="31" spans="1:8" x14ac:dyDescent="0.15">
      <c r="A31" t="s">
        <v>30</v>
      </c>
      <c r="B31">
        <v>9479</v>
      </c>
      <c r="C31">
        <v>215</v>
      </c>
      <c r="D31">
        <v>11</v>
      </c>
      <c r="E31">
        <v>0</v>
      </c>
      <c r="F31">
        <f t="shared" si="0"/>
        <v>27235</v>
      </c>
      <c r="G31">
        <v>36940</v>
      </c>
      <c r="H31" s="1">
        <f t="shared" si="1"/>
        <v>0.73727666486193832</v>
      </c>
    </row>
    <row r="32" spans="1:8" x14ac:dyDescent="0.15">
      <c r="A32" t="s">
        <v>31</v>
      </c>
      <c r="B32">
        <v>9654</v>
      </c>
      <c r="C32">
        <v>48</v>
      </c>
      <c r="D32">
        <v>11</v>
      </c>
      <c r="E32">
        <v>0</v>
      </c>
      <c r="F32">
        <f t="shared" si="0"/>
        <v>27502</v>
      </c>
      <c r="G32">
        <v>37215</v>
      </c>
      <c r="H32" s="1">
        <f t="shared" si="1"/>
        <v>0.73900309015182053</v>
      </c>
    </row>
    <row r="33" spans="1:8" x14ac:dyDescent="0.15">
      <c r="A33" t="s">
        <v>32</v>
      </c>
      <c r="B33">
        <v>10065</v>
      </c>
      <c r="C33">
        <v>1</v>
      </c>
      <c r="D33">
        <v>11</v>
      </c>
      <c r="E33">
        <v>302</v>
      </c>
      <c r="F33">
        <f t="shared" si="0"/>
        <v>28031</v>
      </c>
      <c r="G33">
        <v>38410</v>
      </c>
      <c r="H33" s="1">
        <f t="shared" si="1"/>
        <v>0.72978391043998958</v>
      </c>
    </row>
    <row r="34" spans="1:8" x14ac:dyDescent="0.15">
      <c r="A34" t="s">
        <v>33</v>
      </c>
      <c r="B34">
        <v>10151</v>
      </c>
      <c r="C34">
        <v>0</v>
      </c>
      <c r="D34">
        <v>11</v>
      </c>
      <c r="E34">
        <v>508</v>
      </c>
      <c r="F34">
        <f t="shared" si="0"/>
        <v>29414</v>
      </c>
      <c r="G34">
        <v>40084</v>
      </c>
      <c r="H34" s="1">
        <f t="shared" si="1"/>
        <v>0.73380900109769487</v>
      </c>
    </row>
    <row r="35" spans="1:8" x14ac:dyDescent="0.15">
      <c r="A35" t="s">
        <v>34</v>
      </c>
      <c r="B35">
        <v>10123</v>
      </c>
      <c r="C35">
        <v>0</v>
      </c>
      <c r="D35">
        <v>10</v>
      </c>
      <c r="E35">
        <v>738</v>
      </c>
      <c r="F35">
        <f t="shared" si="0"/>
        <v>30486</v>
      </c>
      <c r="G35">
        <v>41357</v>
      </c>
      <c r="H35" s="1">
        <f t="shared" si="1"/>
        <v>0.73714244263365336</v>
      </c>
    </row>
    <row r="36" spans="1:8" x14ac:dyDescent="0.15">
      <c r="A36" t="s">
        <v>35</v>
      </c>
      <c r="B36">
        <v>9943</v>
      </c>
      <c r="C36">
        <v>0</v>
      </c>
      <c r="D36">
        <v>13</v>
      </c>
      <c r="E36">
        <v>976</v>
      </c>
      <c r="F36">
        <f t="shared" si="0"/>
        <v>30946</v>
      </c>
      <c r="G36">
        <v>41878</v>
      </c>
      <c r="H36" s="1">
        <f t="shared" si="1"/>
        <v>0.73895601509145614</v>
      </c>
    </row>
    <row r="37" spans="1:8" x14ac:dyDescent="0.15">
      <c r="A37" t="s">
        <v>36</v>
      </c>
      <c r="B37">
        <v>9949</v>
      </c>
      <c r="C37">
        <v>0</v>
      </c>
      <c r="D37">
        <v>16</v>
      </c>
      <c r="E37">
        <v>684</v>
      </c>
      <c r="F37">
        <f t="shared" si="0"/>
        <v>31099</v>
      </c>
      <c r="G37">
        <v>41748</v>
      </c>
      <c r="H37" s="1">
        <f t="shared" si="1"/>
        <v>0.74492191242694261</v>
      </c>
    </row>
    <row r="38" spans="1:8" x14ac:dyDescent="0.15">
      <c r="A38" t="s">
        <v>37</v>
      </c>
      <c r="B38">
        <v>10196</v>
      </c>
      <c r="C38">
        <v>0</v>
      </c>
      <c r="D38">
        <v>16</v>
      </c>
      <c r="E38">
        <v>432</v>
      </c>
      <c r="F38">
        <f t="shared" si="0"/>
        <v>30422</v>
      </c>
      <c r="G38">
        <v>41066</v>
      </c>
      <c r="H38" s="1">
        <f t="shared" si="1"/>
        <v>0.7408074806409195</v>
      </c>
    </row>
    <row r="39" spans="1:8" x14ac:dyDescent="0.15">
      <c r="A39" t="s">
        <v>38</v>
      </c>
      <c r="B39">
        <v>10607</v>
      </c>
      <c r="C39">
        <v>0</v>
      </c>
      <c r="D39">
        <v>11</v>
      </c>
      <c r="E39">
        <v>78</v>
      </c>
      <c r="F39">
        <f t="shared" si="0"/>
        <v>29416</v>
      </c>
      <c r="G39">
        <v>40112</v>
      </c>
      <c r="H39" s="1">
        <f t="shared" si="1"/>
        <v>0.73334662943757478</v>
      </c>
    </row>
    <row r="40" spans="1:8" x14ac:dyDescent="0.15">
      <c r="A40" t="s">
        <v>39</v>
      </c>
      <c r="B40">
        <v>10593</v>
      </c>
      <c r="C40">
        <v>0</v>
      </c>
      <c r="D40">
        <v>10</v>
      </c>
      <c r="E40">
        <v>98</v>
      </c>
      <c r="F40">
        <f t="shared" si="0"/>
        <v>28248</v>
      </c>
      <c r="G40">
        <v>38949</v>
      </c>
      <c r="H40" s="1">
        <f t="shared" si="1"/>
        <v>0.72525610413617803</v>
      </c>
    </row>
    <row r="41" spans="1:8" x14ac:dyDescent="0.15">
      <c r="A41" t="s">
        <v>40</v>
      </c>
      <c r="B41">
        <v>10486</v>
      </c>
      <c r="C41">
        <v>0</v>
      </c>
      <c r="D41">
        <v>9</v>
      </c>
      <c r="E41">
        <v>72</v>
      </c>
      <c r="F41">
        <f t="shared" si="0"/>
        <v>27175</v>
      </c>
      <c r="G41">
        <v>37742</v>
      </c>
      <c r="H41" s="1">
        <f t="shared" si="1"/>
        <v>0.72002013671771503</v>
      </c>
    </row>
    <row r="42" spans="1:8" x14ac:dyDescent="0.15">
      <c r="A42" t="s">
        <v>41</v>
      </c>
      <c r="B42">
        <v>10580</v>
      </c>
      <c r="C42">
        <v>0</v>
      </c>
      <c r="D42">
        <v>7</v>
      </c>
      <c r="E42">
        <v>186</v>
      </c>
      <c r="F42">
        <f t="shared" si="0"/>
        <v>25551</v>
      </c>
      <c r="G42">
        <v>36324</v>
      </c>
      <c r="H42" s="1">
        <f t="shared" si="1"/>
        <v>0.70341922695738357</v>
      </c>
    </row>
    <row r="43" spans="1:8" x14ac:dyDescent="0.15">
      <c r="A43" t="s">
        <v>42</v>
      </c>
      <c r="B43">
        <v>10654</v>
      </c>
      <c r="C43">
        <v>0</v>
      </c>
      <c r="D43">
        <v>10</v>
      </c>
      <c r="E43">
        <v>2</v>
      </c>
      <c r="F43">
        <f t="shared" si="0"/>
        <v>24200</v>
      </c>
      <c r="G43">
        <v>34866</v>
      </c>
      <c r="H43" s="1">
        <f t="shared" si="1"/>
        <v>0.69408592898525789</v>
      </c>
    </row>
    <row r="44" spans="1:8" x14ac:dyDescent="0.15">
      <c r="A44" t="s">
        <v>43</v>
      </c>
      <c r="B44">
        <v>10384</v>
      </c>
      <c r="C44">
        <v>0</v>
      </c>
      <c r="D44">
        <v>6</v>
      </c>
      <c r="E44">
        <v>208</v>
      </c>
      <c r="F44">
        <f t="shared" si="0"/>
        <v>22513</v>
      </c>
      <c r="G44">
        <v>33111</v>
      </c>
      <c r="H44" s="1">
        <f t="shared" si="1"/>
        <v>0.67992510041980003</v>
      </c>
    </row>
    <row r="45" spans="1:8" x14ac:dyDescent="0.15">
      <c r="A45" t="s">
        <v>44</v>
      </c>
      <c r="B45">
        <v>10604</v>
      </c>
      <c r="C45">
        <v>0</v>
      </c>
      <c r="D45">
        <v>9</v>
      </c>
      <c r="E45">
        <v>38</v>
      </c>
      <c r="F45">
        <f t="shared" si="0"/>
        <v>20616</v>
      </c>
      <c r="G45">
        <v>31267</v>
      </c>
      <c r="H45" s="1">
        <f t="shared" si="1"/>
        <v>0.65935331179838164</v>
      </c>
    </row>
    <row r="46" spans="1:8" x14ac:dyDescent="0.15">
      <c r="A46" t="s">
        <v>45</v>
      </c>
      <c r="B46">
        <v>10364</v>
      </c>
      <c r="C46">
        <v>0</v>
      </c>
      <c r="D46">
        <v>11</v>
      </c>
      <c r="E46">
        <v>96</v>
      </c>
      <c r="F46">
        <f t="shared" si="0"/>
        <v>18862</v>
      </c>
      <c r="G46">
        <v>29333</v>
      </c>
      <c r="H46" s="1">
        <f t="shared" si="1"/>
        <v>0.64303003443220941</v>
      </c>
    </row>
    <row r="47" spans="1:8" x14ac:dyDescent="0.15">
      <c r="A47" t="s">
        <v>46</v>
      </c>
      <c r="B47">
        <v>10386</v>
      </c>
      <c r="C47">
        <v>0</v>
      </c>
      <c r="D47">
        <v>11</v>
      </c>
      <c r="E47">
        <v>46</v>
      </c>
      <c r="F47">
        <f t="shared" si="0"/>
        <v>17134</v>
      </c>
      <c r="G47">
        <v>27577</v>
      </c>
      <c r="H47" s="1">
        <f t="shared" si="1"/>
        <v>0.62131486383580525</v>
      </c>
    </row>
    <row r="48" spans="1:8" x14ac:dyDescent="0.15">
      <c r="A48" t="s">
        <v>47</v>
      </c>
      <c r="B48">
        <v>10345</v>
      </c>
      <c r="C48">
        <v>0</v>
      </c>
      <c r="D48">
        <v>17</v>
      </c>
      <c r="E48">
        <v>0</v>
      </c>
      <c r="F48">
        <f t="shared" si="0"/>
        <v>15355</v>
      </c>
      <c r="G48">
        <v>25717</v>
      </c>
      <c r="H48" s="1">
        <f t="shared" si="1"/>
        <v>0.5970758642143329</v>
      </c>
    </row>
    <row r="49" spans="1:8" x14ac:dyDescent="0.15">
      <c r="A49" t="s">
        <v>48</v>
      </c>
      <c r="B49">
        <v>10397</v>
      </c>
      <c r="C49">
        <v>0</v>
      </c>
      <c r="D49">
        <v>547</v>
      </c>
      <c r="E49">
        <v>0</v>
      </c>
      <c r="F49">
        <f t="shared" si="0"/>
        <v>13456</v>
      </c>
      <c r="G49">
        <v>24400</v>
      </c>
      <c r="H49" s="1">
        <f t="shared" si="1"/>
        <v>0.55147540983606558</v>
      </c>
    </row>
    <row r="50" spans="1:8" x14ac:dyDescent="0.15">
      <c r="A50" t="s">
        <v>49</v>
      </c>
      <c r="B50">
        <v>10336</v>
      </c>
      <c r="C50">
        <v>0</v>
      </c>
      <c r="D50">
        <v>527</v>
      </c>
      <c r="E50">
        <v>0</v>
      </c>
      <c r="F50">
        <f t="shared" si="0"/>
        <v>13319</v>
      </c>
      <c r="G50">
        <v>24182</v>
      </c>
      <c r="H50" s="1">
        <f t="shared" si="1"/>
        <v>0.55078157307087916</v>
      </c>
    </row>
    <row r="51" spans="1:8" x14ac:dyDescent="0.15">
      <c r="A51" t="s">
        <v>50</v>
      </c>
      <c r="B51">
        <v>10320</v>
      </c>
      <c r="C51">
        <v>0</v>
      </c>
      <c r="D51">
        <v>620</v>
      </c>
      <c r="E51">
        <v>0</v>
      </c>
      <c r="F51">
        <f t="shared" si="0"/>
        <v>13638</v>
      </c>
      <c r="G51">
        <v>24578</v>
      </c>
      <c r="H51" s="1">
        <f t="shared" si="1"/>
        <v>0.55488648384734318</v>
      </c>
    </row>
    <row r="52" spans="1:8" x14ac:dyDescent="0.15">
      <c r="A52" t="s">
        <v>51</v>
      </c>
      <c r="B52">
        <v>10088</v>
      </c>
      <c r="C52">
        <v>0</v>
      </c>
      <c r="D52">
        <v>722</v>
      </c>
      <c r="E52">
        <v>0</v>
      </c>
      <c r="F52">
        <f t="shared" si="0"/>
        <v>13369</v>
      </c>
      <c r="G52">
        <v>24179</v>
      </c>
      <c r="H52" s="1">
        <f t="shared" si="1"/>
        <v>0.5529178212498449</v>
      </c>
    </row>
    <row r="53" spans="1:8" x14ac:dyDescent="0.15">
      <c r="A53" t="s">
        <v>52</v>
      </c>
      <c r="B53">
        <v>9944</v>
      </c>
      <c r="C53">
        <v>0</v>
      </c>
      <c r="D53">
        <v>1000</v>
      </c>
      <c r="E53">
        <v>0</v>
      </c>
      <c r="F53">
        <f t="shared" si="0"/>
        <v>12491</v>
      </c>
      <c r="G53">
        <v>23435</v>
      </c>
      <c r="H53" s="1">
        <f t="shared" si="1"/>
        <v>0.53300618732664817</v>
      </c>
    </row>
    <row r="54" spans="1:8" x14ac:dyDescent="0.15">
      <c r="A54" t="s">
        <v>53</v>
      </c>
      <c r="B54">
        <v>9787</v>
      </c>
      <c r="C54">
        <v>0</v>
      </c>
      <c r="D54">
        <v>1163</v>
      </c>
      <c r="E54">
        <v>0</v>
      </c>
      <c r="F54">
        <f t="shared" si="0"/>
        <v>11854</v>
      </c>
      <c r="G54">
        <v>22804</v>
      </c>
      <c r="H54" s="1">
        <f t="shared" si="1"/>
        <v>0.51982108402034732</v>
      </c>
    </row>
    <row r="55" spans="1:8" x14ac:dyDescent="0.15">
      <c r="A55" t="s">
        <v>54</v>
      </c>
      <c r="B55">
        <v>9750</v>
      </c>
      <c r="C55">
        <v>0</v>
      </c>
      <c r="D55">
        <v>1114</v>
      </c>
      <c r="E55">
        <v>0</v>
      </c>
      <c r="F55">
        <f t="shared" si="0"/>
        <v>11563</v>
      </c>
      <c r="G55">
        <v>22427</v>
      </c>
      <c r="H55" s="1">
        <f t="shared" si="1"/>
        <v>0.51558389441298436</v>
      </c>
    </row>
    <row r="56" spans="1:8" x14ac:dyDescent="0.15">
      <c r="A56" t="s">
        <v>55</v>
      </c>
      <c r="B56">
        <v>9724</v>
      </c>
      <c r="C56">
        <v>0</v>
      </c>
      <c r="D56">
        <v>1155</v>
      </c>
      <c r="E56">
        <v>0</v>
      </c>
      <c r="F56">
        <f t="shared" si="0"/>
        <v>11289</v>
      </c>
      <c r="G56">
        <v>22168</v>
      </c>
      <c r="H56" s="1">
        <f t="shared" si="1"/>
        <v>0.50924756405629734</v>
      </c>
    </row>
    <row r="57" spans="1:8" x14ac:dyDescent="0.15">
      <c r="A57" t="s">
        <v>56</v>
      </c>
      <c r="B57">
        <v>9819</v>
      </c>
      <c r="C57">
        <v>0</v>
      </c>
      <c r="D57">
        <v>1157</v>
      </c>
      <c r="E57">
        <v>0</v>
      </c>
      <c r="F57">
        <f t="shared" si="0"/>
        <v>10828</v>
      </c>
      <c r="G57">
        <v>21804</v>
      </c>
      <c r="H57" s="1">
        <f t="shared" si="1"/>
        <v>0.49660612731608877</v>
      </c>
    </row>
    <row r="58" spans="1:8" x14ac:dyDescent="0.15">
      <c r="A58" t="s">
        <v>57</v>
      </c>
      <c r="B58">
        <v>9847</v>
      </c>
      <c r="C58">
        <v>0</v>
      </c>
      <c r="D58">
        <v>975</v>
      </c>
      <c r="E58">
        <v>0</v>
      </c>
      <c r="F58">
        <f t="shared" si="0"/>
        <v>10865</v>
      </c>
      <c r="G58">
        <v>21687</v>
      </c>
      <c r="H58" s="1">
        <f t="shared" si="1"/>
        <v>0.50099137732282017</v>
      </c>
    </row>
    <row r="59" spans="1:8" x14ac:dyDescent="0.15">
      <c r="A59" t="s">
        <v>58</v>
      </c>
      <c r="B59">
        <v>9774</v>
      </c>
      <c r="C59">
        <v>0</v>
      </c>
      <c r="D59">
        <v>1042</v>
      </c>
      <c r="E59">
        <v>0</v>
      </c>
      <c r="F59">
        <f t="shared" si="0"/>
        <v>11122</v>
      </c>
      <c r="G59">
        <v>21938</v>
      </c>
      <c r="H59" s="1">
        <f t="shared" si="1"/>
        <v>0.50697420001823323</v>
      </c>
    </row>
    <row r="60" spans="1:8" x14ac:dyDescent="0.15">
      <c r="A60" t="s">
        <v>59</v>
      </c>
      <c r="B60">
        <v>9654</v>
      </c>
      <c r="C60">
        <v>0</v>
      </c>
      <c r="D60">
        <v>997</v>
      </c>
      <c r="E60">
        <v>0</v>
      </c>
      <c r="F60">
        <f t="shared" si="0"/>
        <v>11843</v>
      </c>
      <c r="G60">
        <v>22494</v>
      </c>
      <c r="H60" s="1">
        <f t="shared" si="1"/>
        <v>0.52649595447674935</v>
      </c>
    </row>
    <row r="61" spans="1:8" x14ac:dyDescent="0.15">
      <c r="A61" t="s">
        <v>60</v>
      </c>
      <c r="B61">
        <v>9497</v>
      </c>
      <c r="C61">
        <v>0</v>
      </c>
      <c r="D61">
        <v>605</v>
      </c>
      <c r="E61">
        <v>0</v>
      </c>
      <c r="F61">
        <f t="shared" si="0"/>
        <v>13626</v>
      </c>
      <c r="G61">
        <v>23728</v>
      </c>
      <c r="H61" s="1">
        <f t="shared" si="1"/>
        <v>0.5742582602832097</v>
      </c>
    </row>
    <row r="62" spans="1:8" x14ac:dyDescent="0.15">
      <c r="A62" t="s">
        <v>61</v>
      </c>
      <c r="B62">
        <v>9595</v>
      </c>
      <c r="C62">
        <v>0</v>
      </c>
      <c r="D62">
        <v>135</v>
      </c>
      <c r="E62">
        <v>0</v>
      </c>
      <c r="F62">
        <f t="shared" si="0"/>
        <v>16785</v>
      </c>
      <c r="G62">
        <v>26515</v>
      </c>
      <c r="H62" s="1">
        <f t="shared" si="1"/>
        <v>0.63303790307373187</v>
      </c>
    </row>
    <row r="63" spans="1:8" x14ac:dyDescent="0.15">
      <c r="A63" t="s">
        <v>62</v>
      </c>
      <c r="B63">
        <v>10020</v>
      </c>
      <c r="C63">
        <v>0</v>
      </c>
      <c r="D63">
        <v>13</v>
      </c>
      <c r="E63">
        <v>0</v>
      </c>
      <c r="F63">
        <f t="shared" si="0"/>
        <v>19259</v>
      </c>
      <c r="G63">
        <v>29292</v>
      </c>
      <c r="H63" s="1">
        <f t="shared" si="1"/>
        <v>0.65748327188310807</v>
      </c>
    </row>
    <row r="64" spans="1:8" x14ac:dyDescent="0.15">
      <c r="A64" t="s">
        <v>63</v>
      </c>
      <c r="B64">
        <v>9981</v>
      </c>
      <c r="C64">
        <v>0</v>
      </c>
      <c r="D64">
        <v>7</v>
      </c>
      <c r="E64">
        <v>308</v>
      </c>
      <c r="F64">
        <f t="shared" si="0"/>
        <v>22109</v>
      </c>
      <c r="G64">
        <v>32405</v>
      </c>
      <c r="H64" s="1">
        <f t="shared" si="1"/>
        <v>0.68227125443604386</v>
      </c>
    </row>
    <row r="65" spans="1:8" x14ac:dyDescent="0.15">
      <c r="A65" t="s">
        <v>64</v>
      </c>
      <c r="B65">
        <v>9983</v>
      </c>
      <c r="C65">
        <v>0</v>
      </c>
      <c r="D65">
        <v>8</v>
      </c>
      <c r="E65">
        <v>380</v>
      </c>
      <c r="F65">
        <f t="shared" si="0"/>
        <v>23706</v>
      </c>
      <c r="G65">
        <v>34077</v>
      </c>
      <c r="H65" s="1">
        <f t="shared" si="1"/>
        <v>0.69565982921031777</v>
      </c>
    </row>
    <row r="66" spans="1:8" x14ac:dyDescent="0.15">
      <c r="A66" t="s">
        <v>65</v>
      </c>
      <c r="B66">
        <v>9933</v>
      </c>
      <c r="C66">
        <v>0</v>
      </c>
      <c r="D66">
        <v>13</v>
      </c>
      <c r="E66">
        <v>36</v>
      </c>
      <c r="F66">
        <f t="shared" si="0"/>
        <v>25592</v>
      </c>
      <c r="G66">
        <v>35574</v>
      </c>
      <c r="H66" s="1">
        <f t="shared" si="1"/>
        <v>0.71940181031090122</v>
      </c>
    </row>
    <row r="67" spans="1:8" x14ac:dyDescent="0.15">
      <c r="A67" t="s">
        <v>66</v>
      </c>
      <c r="B67">
        <v>9951</v>
      </c>
      <c r="C67">
        <v>83</v>
      </c>
      <c r="D67">
        <v>14</v>
      </c>
      <c r="E67">
        <v>22</v>
      </c>
      <c r="F67">
        <f t="shared" ref="F67:F130" si="2">G67-B67-C67-D67-E67</f>
        <v>25519</v>
      </c>
      <c r="G67">
        <v>35589</v>
      </c>
      <c r="H67" s="1">
        <f t="shared" ref="H67:H130" si="3">F67/G67</f>
        <v>0.71704740228722363</v>
      </c>
    </row>
    <row r="68" spans="1:8" x14ac:dyDescent="0.15">
      <c r="A68" t="s">
        <v>67</v>
      </c>
      <c r="B68">
        <v>9669</v>
      </c>
      <c r="C68">
        <v>407</v>
      </c>
      <c r="D68">
        <v>9</v>
      </c>
      <c r="E68">
        <v>356</v>
      </c>
      <c r="F68">
        <f t="shared" si="2"/>
        <v>25905</v>
      </c>
      <c r="G68">
        <v>36346</v>
      </c>
      <c r="H68" s="1">
        <f t="shared" si="3"/>
        <v>0.71273317559016125</v>
      </c>
    </row>
    <row r="69" spans="1:8" x14ac:dyDescent="0.15">
      <c r="A69" t="s">
        <v>68</v>
      </c>
      <c r="B69">
        <v>9222</v>
      </c>
      <c r="C69">
        <v>797</v>
      </c>
      <c r="D69">
        <v>9</v>
      </c>
      <c r="E69">
        <v>180</v>
      </c>
      <c r="F69">
        <f t="shared" si="2"/>
        <v>26155</v>
      </c>
      <c r="G69">
        <v>36363</v>
      </c>
      <c r="H69" s="1">
        <f t="shared" si="3"/>
        <v>0.71927508731402801</v>
      </c>
    </row>
    <row r="70" spans="1:8" x14ac:dyDescent="0.15">
      <c r="A70" t="s">
        <v>69</v>
      </c>
      <c r="B70">
        <v>8769</v>
      </c>
      <c r="C70">
        <v>1253</v>
      </c>
      <c r="D70">
        <v>8</v>
      </c>
      <c r="E70">
        <v>240</v>
      </c>
      <c r="F70">
        <f t="shared" si="2"/>
        <v>25795</v>
      </c>
      <c r="G70">
        <v>36065</v>
      </c>
      <c r="H70" s="1">
        <f t="shared" si="3"/>
        <v>0.71523637876057122</v>
      </c>
    </row>
    <row r="71" spans="1:8" x14ac:dyDescent="0.15">
      <c r="A71" t="s">
        <v>70</v>
      </c>
      <c r="B71">
        <v>8696</v>
      </c>
      <c r="C71">
        <v>1506</v>
      </c>
      <c r="D71">
        <v>13</v>
      </c>
      <c r="E71">
        <v>52</v>
      </c>
      <c r="F71">
        <f t="shared" si="2"/>
        <v>25796</v>
      </c>
      <c r="G71">
        <v>36063</v>
      </c>
      <c r="H71" s="1">
        <f t="shared" si="3"/>
        <v>0.71530377395114109</v>
      </c>
    </row>
    <row r="72" spans="1:8" x14ac:dyDescent="0.15">
      <c r="A72" t="s">
        <v>71</v>
      </c>
      <c r="B72">
        <v>8609</v>
      </c>
      <c r="C72">
        <v>1536</v>
      </c>
      <c r="D72">
        <v>9</v>
      </c>
      <c r="E72">
        <v>42</v>
      </c>
      <c r="F72">
        <f t="shared" si="2"/>
        <v>25903</v>
      </c>
      <c r="G72">
        <v>36099</v>
      </c>
      <c r="H72" s="1">
        <f t="shared" si="3"/>
        <v>0.71755450289481704</v>
      </c>
    </row>
    <row r="73" spans="1:8" x14ac:dyDescent="0.15">
      <c r="A73" t="s">
        <v>72</v>
      </c>
      <c r="B73">
        <v>8617</v>
      </c>
      <c r="C73">
        <v>1720</v>
      </c>
      <c r="D73">
        <v>9</v>
      </c>
      <c r="E73">
        <v>34</v>
      </c>
      <c r="F73">
        <f t="shared" si="2"/>
        <v>25873</v>
      </c>
      <c r="G73">
        <v>36253</v>
      </c>
      <c r="H73" s="1">
        <f t="shared" si="3"/>
        <v>0.71367886795575541</v>
      </c>
    </row>
    <row r="74" spans="1:8" x14ac:dyDescent="0.15">
      <c r="A74" t="s">
        <v>73</v>
      </c>
      <c r="B74">
        <v>8485</v>
      </c>
      <c r="C74">
        <v>1565</v>
      </c>
      <c r="D74">
        <v>9</v>
      </c>
      <c r="E74">
        <v>50</v>
      </c>
      <c r="F74">
        <f t="shared" si="2"/>
        <v>26392</v>
      </c>
      <c r="G74">
        <v>36501</v>
      </c>
      <c r="H74" s="1">
        <f t="shared" si="3"/>
        <v>0.72304868359770968</v>
      </c>
    </row>
    <row r="75" spans="1:8" x14ac:dyDescent="0.15">
      <c r="A75" t="s">
        <v>74</v>
      </c>
      <c r="B75">
        <v>8205</v>
      </c>
      <c r="C75">
        <v>1236</v>
      </c>
      <c r="D75">
        <v>9</v>
      </c>
      <c r="E75">
        <v>158</v>
      </c>
      <c r="F75">
        <f t="shared" si="2"/>
        <v>26831</v>
      </c>
      <c r="G75">
        <v>36439</v>
      </c>
      <c r="H75" s="1">
        <f t="shared" si="3"/>
        <v>0.73632646340459396</v>
      </c>
    </row>
    <row r="76" spans="1:8" x14ac:dyDescent="0.15">
      <c r="A76" t="s">
        <v>75</v>
      </c>
      <c r="B76">
        <v>8452</v>
      </c>
      <c r="C76">
        <v>1052</v>
      </c>
      <c r="D76">
        <v>9</v>
      </c>
      <c r="E76">
        <v>136</v>
      </c>
      <c r="F76">
        <f t="shared" si="2"/>
        <v>26861</v>
      </c>
      <c r="G76">
        <v>36510</v>
      </c>
      <c r="H76" s="1">
        <f t="shared" si="3"/>
        <v>0.73571624212544506</v>
      </c>
    </row>
    <row r="77" spans="1:8" x14ac:dyDescent="0.15">
      <c r="A77" t="s">
        <v>76</v>
      </c>
      <c r="B77">
        <v>8575</v>
      </c>
      <c r="C77">
        <v>845</v>
      </c>
      <c r="D77">
        <v>8</v>
      </c>
      <c r="E77">
        <v>0</v>
      </c>
      <c r="F77">
        <f t="shared" si="2"/>
        <v>26939</v>
      </c>
      <c r="G77">
        <v>36367</v>
      </c>
      <c r="H77" s="1">
        <f t="shared" si="3"/>
        <v>0.74075398025682626</v>
      </c>
    </row>
    <row r="78" spans="1:8" x14ac:dyDescent="0.15">
      <c r="A78" t="s">
        <v>77</v>
      </c>
      <c r="B78">
        <v>8578</v>
      </c>
      <c r="C78">
        <v>533</v>
      </c>
      <c r="D78">
        <v>5</v>
      </c>
      <c r="E78">
        <v>88</v>
      </c>
      <c r="F78">
        <f t="shared" si="2"/>
        <v>27900</v>
      </c>
      <c r="G78">
        <v>37104</v>
      </c>
      <c r="H78" s="1">
        <f t="shared" si="3"/>
        <v>0.75194049159120313</v>
      </c>
    </row>
    <row r="79" spans="1:8" x14ac:dyDescent="0.15">
      <c r="A79" t="s">
        <v>78</v>
      </c>
      <c r="B79">
        <v>8497</v>
      </c>
      <c r="C79">
        <v>301</v>
      </c>
      <c r="D79">
        <v>9</v>
      </c>
      <c r="E79">
        <v>0</v>
      </c>
      <c r="F79">
        <f t="shared" si="2"/>
        <v>28459</v>
      </c>
      <c r="G79">
        <v>37266</v>
      </c>
      <c r="H79" s="1">
        <f t="shared" si="3"/>
        <v>0.76367197982074808</v>
      </c>
    </row>
    <row r="80" spans="1:8" x14ac:dyDescent="0.15">
      <c r="A80" t="s">
        <v>79</v>
      </c>
      <c r="B80">
        <v>8278</v>
      </c>
      <c r="C80">
        <v>74</v>
      </c>
      <c r="D80">
        <v>12</v>
      </c>
      <c r="E80">
        <v>0</v>
      </c>
      <c r="F80">
        <f t="shared" si="2"/>
        <v>29148</v>
      </c>
      <c r="G80">
        <v>37512</v>
      </c>
      <c r="H80" s="1">
        <f t="shared" si="3"/>
        <v>0.77703134996801027</v>
      </c>
    </row>
    <row r="81" spans="1:8" x14ac:dyDescent="0.15">
      <c r="A81" t="s">
        <v>80</v>
      </c>
      <c r="B81">
        <v>8221</v>
      </c>
      <c r="C81">
        <v>2</v>
      </c>
      <c r="D81">
        <v>13</v>
      </c>
      <c r="E81">
        <v>552</v>
      </c>
      <c r="F81">
        <f t="shared" si="2"/>
        <v>29688</v>
      </c>
      <c r="G81">
        <v>38476</v>
      </c>
      <c r="H81" s="1">
        <f t="shared" si="3"/>
        <v>0.77159787919742173</v>
      </c>
    </row>
    <row r="82" spans="1:8" x14ac:dyDescent="0.15">
      <c r="A82" t="s">
        <v>81</v>
      </c>
      <c r="B82">
        <v>7988</v>
      </c>
      <c r="C82">
        <v>0</v>
      </c>
      <c r="D82">
        <v>8</v>
      </c>
      <c r="E82">
        <v>1098</v>
      </c>
      <c r="F82">
        <f t="shared" si="2"/>
        <v>31594</v>
      </c>
      <c r="G82">
        <v>40688</v>
      </c>
      <c r="H82" s="1">
        <f t="shared" si="3"/>
        <v>0.77649429807314196</v>
      </c>
    </row>
    <row r="83" spans="1:8" x14ac:dyDescent="0.15">
      <c r="A83" t="s">
        <v>82</v>
      </c>
      <c r="B83">
        <v>7513</v>
      </c>
      <c r="C83">
        <v>0</v>
      </c>
      <c r="D83">
        <v>8</v>
      </c>
      <c r="E83">
        <v>1184</v>
      </c>
      <c r="F83">
        <f t="shared" si="2"/>
        <v>32965</v>
      </c>
      <c r="G83">
        <v>41670</v>
      </c>
      <c r="H83" s="1">
        <f t="shared" si="3"/>
        <v>0.79109671226301892</v>
      </c>
    </row>
    <row r="84" spans="1:8" x14ac:dyDescent="0.15">
      <c r="A84" t="s">
        <v>83</v>
      </c>
      <c r="B84">
        <v>7358</v>
      </c>
      <c r="C84">
        <v>0</v>
      </c>
      <c r="D84">
        <v>13</v>
      </c>
      <c r="E84">
        <v>736</v>
      </c>
      <c r="F84">
        <f t="shared" si="2"/>
        <v>33356</v>
      </c>
      <c r="G84">
        <v>41463</v>
      </c>
      <c r="H84" s="1">
        <f t="shared" si="3"/>
        <v>0.80447628005691818</v>
      </c>
    </row>
    <row r="85" spans="1:8" x14ac:dyDescent="0.15">
      <c r="A85" t="s">
        <v>84</v>
      </c>
      <c r="B85">
        <v>6651</v>
      </c>
      <c r="C85">
        <v>0</v>
      </c>
      <c r="D85">
        <v>8</v>
      </c>
      <c r="E85">
        <v>1326</v>
      </c>
      <c r="F85">
        <f t="shared" si="2"/>
        <v>33422</v>
      </c>
      <c r="G85">
        <v>41407</v>
      </c>
      <c r="H85" s="1">
        <f t="shared" si="3"/>
        <v>0.80715820996449872</v>
      </c>
    </row>
    <row r="86" spans="1:8" x14ac:dyDescent="0.15">
      <c r="A86" t="s">
        <v>85</v>
      </c>
      <c r="B86">
        <v>6286</v>
      </c>
      <c r="C86">
        <v>0</v>
      </c>
      <c r="D86">
        <v>8</v>
      </c>
      <c r="E86">
        <v>1338</v>
      </c>
      <c r="F86">
        <f t="shared" si="2"/>
        <v>33397</v>
      </c>
      <c r="G86">
        <v>41029</v>
      </c>
      <c r="H86" s="1">
        <f t="shared" si="3"/>
        <v>0.81398522995929712</v>
      </c>
    </row>
    <row r="87" spans="1:8" x14ac:dyDescent="0.15">
      <c r="A87" t="s">
        <v>86</v>
      </c>
      <c r="B87">
        <v>6097</v>
      </c>
      <c r="C87">
        <v>0</v>
      </c>
      <c r="D87">
        <v>7</v>
      </c>
      <c r="E87">
        <v>1352</v>
      </c>
      <c r="F87">
        <f t="shared" si="2"/>
        <v>33185</v>
      </c>
      <c r="G87">
        <v>40641</v>
      </c>
      <c r="H87" s="1">
        <f t="shared" si="3"/>
        <v>0.81653994734381541</v>
      </c>
    </row>
    <row r="88" spans="1:8" x14ac:dyDescent="0.15">
      <c r="A88" t="s">
        <v>87</v>
      </c>
      <c r="B88">
        <v>5748</v>
      </c>
      <c r="C88">
        <v>0</v>
      </c>
      <c r="D88">
        <v>13</v>
      </c>
      <c r="E88">
        <v>662</v>
      </c>
      <c r="F88">
        <f t="shared" si="2"/>
        <v>32898</v>
      </c>
      <c r="G88">
        <v>39321</v>
      </c>
      <c r="H88" s="1">
        <f t="shared" si="3"/>
        <v>0.83665217059586483</v>
      </c>
    </row>
    <row r="89" spans="1:8" x14ac:dyDescent="0.15">
      <c r="A89" t="s">
        <v>88</v>
      </c>
      <c r="B89">
        <v>5569</v>
      </c>
      <c r="C89">
        <v>0</v>
      </c>
      <c r="D89">
        <v>8</v>
      </c>
      <c r="E89">
        <v>174</v>
      </c>
      <c r="F89">
        <f t="shared" si="2"/>
        <v>32553</v>
      </c>
      <c r="G89">
        <v>38304</v>
      </c>
      <c r="H89" s="1">
        <f t="shared" si="3"/>
        <v>0.84985902255639101</v>
      </c>
    </row>
    <row r="90" spans="1:8" x14ac:dyDescent="0.15">
      <c r="A90" t="s">
        <v>89</v>
      </c>
      <c r="B90">
        <v>5663</v>
      </c>
      <c r="C90">
        <v>0</v>
      </c>
      <c r="D90">
        <v>7</v>
      </c>
      <c r="E90">
        <v>192</v>
      </c>
      <c r="F90">
        <f t="shared" si="2"/>
        <v>31591</v>
      </c>
      <c r="G90">
        <v>37453</v>
      </c>
      <c r="H90" s="1">
        <f t="shared" si="3"/>
        <v>0.84348383307078201</v>
      </c>
    </row>
    <row r="91" spans="1:8" x14ac:dyDescent="0.15">
      <c r="A91" t="s">
        <v>90</v>
      </c>
      <c r="B91">
        <v>5443</v>
      </c>
      <c r="C91">
        <v>0</v>
      </c>
      <c r="D91">
        <v>6</v>
      </c>
      <c r="E91">
        <v>246</v>
      </c>
      <c r="F91">
        <f t="shared" si="2"/>
        <v>30278</v>
      </c>
      <c r="G91">
        <v>35973</v>
      </c>
      <c r="H91" s="1">
        <f t="shared" si="3"/>
        <v>0.84168682067105882</v>
      </c>
    </row>
    <row r="92" spans="1:8" x14ac:dyDescent="0.15">
      <c r="A92" t="s">
        <v>91</v>
      </c>
      <c r="B92">
        <v>5134</v>
      </c>
      <c r="C92">
        <v>0</v>
      </c>
      <c r="D92">
        <v>6</v>
      </c>
      <c r="E92">
        <v>256</v>
      </c>
      <c r="F92">
        <f t="shared" si="2"/>
        <v>29029</v>
      </c>
      <c r="G92">
        <v>34425</v>
      </c>
      <c r="H92" s="1">
        <f t="shared" si="3"/>
        <v>0.84325344952795933</v>
      </c>
    </row>
    <row r="93" spans="1:8" x14ac:dyDescent="0.15">
      <c r="A93" t="s">
        <v>92</v>
      </c>
      <c r="B93">
        <v>4911</v>
      </c>
      <c r="C93">
        <v>0</v>
      </c>
      <c r="D93">
        <v>9</v>
      </c>
      <c r="E93">
        <v>0</v>
      </c>
      <c r="F93">
        <f t="shared" si="2"/>
        <v>27671</v>
      </c>
      <c r="G93">
        <v>32591</v>
      </c>
      <c r="H93" s="1">
        <f t="shared" si="3"/>
        <v>0.84903807799699305</v>
      </c>
    </row>
    <row r="94" spans="1:8" x14ac:dyDescent="0.15">
      <c r="A94" t="s">
        <v>93</v>
      </c>
      <c r="B94">
        <v>4817</v>
      </c>
      <c r="C94">
        <v>0</v>
      </c>
      <c r="D94">
        <v>12</v>
      </c>
      <c r="E94">
        <v>0</v>
      </c>
      <c r="F94">
        <f t="shared" si="2"/>
        <v>26014</v>
      </c>
      <c r="G94">
        <v>30843</v>
      </c>
      <c r="H94" s="1">
        <f t="shared" si="3"/>
        <v>0.8434328696949065</v>
      </c>
    </row>
    <row r="95" spans="1:8" x14ac:dyDescent="0.15">
      <c r="A95" t="s">
        <v>94</v>
      </c>
      <c r="B95">
        <v>4521</v>
      </c>
      <c r="C95">
        <v>0</v>
      </c>
      <c r="D95">
        <v>16</v>
      </c>
      <c r="E95">
        <v>46</v>
      </c>
      <c r="F95">
        <f t="shared" si="2"/>
        <v>24353</v>
      </c>
      <c r="G95">
        <v>28936</v>
      </c>
      <c r="H95" s="1">
        <f t="shared" si="3"/>
        <v>0.84161598009400052</v>
      </c>
    </row>
    <row r="96" spans="1:8" x14ac:dyDescent="0.15">
      <c r="A96" t="s">
        <v>95</v>
      </c>
      <c r="B96">
        <v>3855</v>
      </c>
      <c r="C96">
        <v>0</v>
      </c>
      <c r="D96">
        <v>261</v>
      </c>
      <c r="E96">
        <v>0</v>
      </c>
      <c r="F96">
        <f t="shared" si="2"/>
        <v>22868</v>
      </c>
      <c r="G96">
        <v>26984</v>
      </c>
      <c r="H96" s="1">
        <f t="shared" si="3"/>
        <v>0.84746516454195076</v>
      </c>
    </row>
    <row r="97" spans="1:8" x14ac:dyDescent="0.15">
      <c r="A97" t="s">
        <v>96</v>
      </c>
      <c r="B97">
        <v>3445</v>
      </c>
      <c r="C97">
        <v>0</v>
      </c>
      <c r="D97">
        <v>790</v>
      </c>
      <c r="E97">
        <v>0</v>
      </c>
      <c r="F97">
        <f t="shared" si="2"/>
        <v>21592</v>
      </c>
      <c r="G97">
        <v>25827</v>
      </c>
      <c r="H97" s="1">
        <f t="shared" si="3"/>
        <v>0.83602431563867274</v>
      </c>
    </row>
    <row r="98" spans="1:8" x14ac:dyDescent="0.15">
      <c r="A98" t="s">
        <v>97</v>
      </c>
      <c r="B98">
        <v>3187</v>
      </c>
      <c r="C98">
        <v>0</v>
      </c>
      <c r="D98">
        <v>1129</v>
      </c>
      <c r="E98">
        <v>0</v>
      </c>
      <c r="F98">
        <f t="shared" si="2"/>
        <v>21220</v>
      </c>
      <c r="G98">
        <v>25536</v>
      </c>
      <c r="H98" s="1">
        <f t="shared" si="3"/>
        <v>0.83098370927318299</v>
      </c>
    </row>
    <row r="99" spans="1:8" x14ac:dyDescent="0.15">
      <c r="A99" t="s">
        <v>98</v>
      </c>
      <c r="B99">
        <v>3001</v>
      </c>
      <c r="C99">
        <v>0</v>
      </c>
      <c r="D99">
        <v>838</v>
      </c>
      <c r="E99">
        <v>0</v>
      </c>
      <c r="F99">
        <f t="shared" si="2"/>
        <v>21864</v>
      </c>
      <c r="G99">
        <v>25703</v>
      </c>
      <c r="H99" s="1">
        <f t="shared" si="3"/>
        <v>0.85064000311247712</v>
      </c>
    </row>
    <row r="100" spans="1:8" x14ac:dyDescent="0.15">
      <c r="A100" t="s">
        <v>99</v>
      </c>
      <c r="B100">
        <v>2905</v>
      </c>
      <c r="C100">
        <v>0</v>
      </c>
      <c r="D100">
        <v>1142</v>
      </c>
      <c r="E100">
        <v>0</v>
      </c>
      <c r="F100">
        <f t="shared" si="2"/>
        <v>21639</v>
      </c>
      <c r="G100">
        <v>25686</v>
      </c>
      <c r="H100" s="1">
        <f t="shared" si="3"/>
        <v>0.84244335435645878</v>
      </c>
    </row>
    <row r="101" spans="1:8" x14ac:dyDescent="0.15">
      <c r="A101" t="s">
        <v>100</v>
      </c>
      <c r="B101">
        <v>2686</v>
      </c>
      <c r="C101">
        <v>0</v>
      </c>
      <c r="D101">
        <v>1170</v>
      </c>
      <c r="E101">
        <v>0</v>
      </c>
      <c r="F101">
        <f t="shared" si="2"/>
        <v>21286</v>
      </c>
      <c r="G101">
        <v>25142</v>
      </c>
      <c r="H101" s="1">
        <f t="shared" si="3"/>
        <v>0.84663113515233479</v>
      </c>
    </row>
    <row r="102" spans="1:8" x14ac:dyDescent="0.15">
      <c r="A102" t="s">
        <v>101</v>
      </c>
      <c r="B102">
        <v>2561</v>
      </c>
      <c r="C102">
        <v>0</v>
      </c>
      <c r="D102">
        <v>1218</v>
      </c>
      <c r="E102">
        <v>0</v>
      </c>
      <c r="F102">
        <f t="shared" si="2"/>
        <v>20862</v>
      </c>
      <c r="G102">
        <v>24641</v>
      </c>
      <c r="H102" s="1">
        <f t="shared" si="3"/>
        <v>0.84663771762509643</v>
      </c>
    </row>
    <row r="103" spans="1:8" x14ac:dyDescent="0.15">
      <c r="A103" t="s">
        <v>102</v>
      </c>
      <c r="B103">
        <v>2505</v>
      </c>
      <c r="C103">
        <v>0</v>
      </c>
      <c r="D103">
        <v>1178</v>
      </c>
      <c r="E103">
        <v>0</v>
      </c>
      <c r="F103">
        <f t="shared" si="2"/>
        <v>20715</v>
      </c>
      <c r="G103">
        <v>24398</v>
      </c>
      <c r="H103" s="1">
        <f t="shared" si="3"/>
        <v>0.84904500368882696</v>
      </c>
    </row>
    <row r="104" spans="1:8" x14ac:dyDescent="0.15">
      <c r="A104" t="s">
        <v>103</v>
      </c>
      <c r="B104">
        <v>2436</v>
      </c>
      <c r="C104">
        <v>0</v>
      </c>
      <c r="D104">
        <v>1320</v>
      </c>
      <c r="E104">
        <v>0</v>
      </c>
      <c r="F104">
        <f t="shared" si="2"/>
        <v>20219</v>
      </c>
      <c r="G104">
        <v>23975</v>
      </c>
      <c r="H104" s="1">
        <f t="shared" si="3"/>
        <v>0.84333680917622522</v>
      </c>
    </row>
    <row r="105" spans="1:8" x14ac:dyDescent="0.15">
      <c r="A105" t="s">
        <v>104</v>
      </c>
      <c r="B105">
        <v>2392</v>
      </c>
      <c r="C105">
        <v>0</v>
      </c>
      <c r="D105">
        <v>1424</v>
      </c>
      <c r="E105">
        <v>0</v>
      </c>
      <c r="F105">
        <f t="shared" si="2"/>
        <v>19629</v>
      </c>
      <c r="G105">
        <v>23445</v>
      </c>
      <c r="H105" s="1">
        <f t="shared" si="3"/>
        <v>0.83723608445297504</v>
      </c>
    </row>
    <row r="106" spans="1:8" x14ac:dyDescent="0.15">
      <c r="A106" t="s">
        <v>105</v>
      </c>
      <c r="B106">
        <v>2511</v>
      </c>
      <c r="C106">
        <v>0</v>
      </c>
      <c r="D106">
        <v>1169</v>
      </c>
      <c r="E106">
        <v>0</v>
      </c>
      <c r="F106">
        <f t="shared" si="2"/>
        <v>19751</v>
      </c>
      <c r="G106">
        <v>23431</v>
      </c>
      <c r="H106" s="1">
        <f t="shared" si="3"/>
        <v>0.84294310955571683</v>
      </c>
    </row>
    <row r="107" spans="1:8" x14ac:dyDescent="0.15">
      <c r="A107" t="s">
        <v>106</v>
      </c>
      <c r="B107">
        <v>2353</v>
      </c>
      <c r="C107">
        <v>0</v>
      </c>
      <c r="D107">
        <v>1243</v>
      </c>
      <c r="E107">
        <v>0</v>
      </c>
      <c r="F107">
        <f t="shared" si="2"/>
        <v>19766</v>
      </c>
      <c r="G107">
        <v>23362</v>
      </c>
      <c r="H107" s="1">
        <f t="shared" si="3"/>
        <v>0.84607482236109921</v>
      </c>
    </row>
    <row r="108" spans="1:8" x14ac:dyDescent="0.15">
      <c r="A108" t="s">
        <v>107</v>
      </c>
      <c r="B108">
        <v>2305</v>
      </c>
      <c r="C108">
        <v>0</v>
      </c>
      <c r="D108">
        <v>625</v>
      </c>
      <c r="E108">
        <v>0</v>
      </c>
      <c r="F108">
        <f t="shared" si="2"/>
        <v>21086</v>
      </c>
      <c r="G108">
        <v>24016</v>
      </c>
      <c r="H108" s="1">
        <f t="shared" si="3"/>
        <v>0.87799800133244499</v>
      </c>
    </row>
    <row r="109" spans="1:8" x14ac:dyDescent="0.15">
      <c r="A109" t="s">
        <v>108</v>
      </c>
      <c r="B109">
        <v>2335</v>
      </c>
      <c r="C109">
        <v>0</v>
      </c>
      <c r="D109">
        <v>814</v>
      </c>
      <c r="E109">
        <v>0</v>
      </c>
      <c r="F109">
        <f t="shared" si="2"/>
        <v>22422</v>
      </c>
      <c r="G109">
        <v>25571</v>
      </c>
      <c r="H109" s="1">
        <f t="shared" si="3"/>
        <v>0.87685268468186617</v>
      </c>
    </row>
    <row r="110" spans="1:8" x14ac:dyDescent="0.15">
      <c r="A110" t="s">
        <v>109</v>
      </c>
      <c r="B110">
        <v>2323</v>
      </c>
      <c r="C110">
        <v>0</v>
      </c>
      <c r="D110">
        <v>191</v>
      </c>
      <c r="E110">
        <v>0</v>
      </c>
      <c r="F110">
        <f t="shared" si="2"/>
        <v>25684</v>
      </c>
      <c r="G110">
        <v>28198</v>
      </c>
      <c r="H110" s="1">
        <f t="shared" si="3"/>
        <v>0.91084474076175614</v>
      </c>
    </row>
    <row r="111" spans="1:8" x14ac:dyDescent="0.15">
      <c r="A111" t="s">
        <v>110</v>
      </c>
      <c r="B111">
        <v>2378</v>
      </c>
      <c r="C111">
        <v>0</v>
      </c>
      <c r="D111">
        <v>72</v>
      </c>
      <c r="E111">
        <v>0</v>
      </c>
      <c r="F111">
        <f t="shared" si="2"/>
        <v>28336</v>
      </c>
      <c r="G111">
        <v>30786</v>
      </c>
      <c r="H111" s="1">
        <f t="shared" si="3"/>
        <v>0.92041837198726695</v>
      </c>
    </row>
    <row r="112" spans="1:8" x14ac:dyDescent="0.15">
      <c r="A112" t="s">
        <v>111</v>
      </c>
      <c r="B112">
        <v>2355</v>
      </c>
      <c r="C112">
        <v>0</v>
      </c>
      <c r="D112">
        <v>15</v>
      </c>
      <c r="E112">
        <v>270</v>
      </c>
      <c r="F112">
        <f t="shared" si="2"/>
        <v>31419</v>
      </c>
      <c r="G112">
        <v>34059</v>
      </c>
      <c r="H112" s="1">
        <f t="shared" si="3"/>
        <v>0.92248744825156348</v>
      </c>
    </row>
    <row r="113" spans="1:8" x14ac:dyDescent="0.15">
      <c r="A113" t="s">
        <v>112</v>
      </c>
      <c r="B113">
        <v>2461</v>
      </c>
      <c r="C113">
        <v>0</v>
      </c>
      <c r="D113">
        <v>13</v>
      </c>
      <c r="E113">
        <v>402</v>
      </c>
      <c r="F113">
        <f t="shared" si="2"/>
        <v>32905</v>
      </c>
      <c r="G113">
        <v>35781</v>
      </c>
      <c r="H113" s="1">
        <f t="shared" si="3"/>
        <v>0.91962214583158663</v>
      </c>
    </row>
    <row r="114" spans="1:8" x14ac:dyDescent="0.15">
      <c r="A114" t="s">
        <v>113</v>
      </c>
      <c r="B114">
        <v>2618</v>
      </c>
      <c r="C114">
        <v>0</v>
      </c>
      <c r="D114">
        <v>11</v>
      </c>
      <c r="E114">
        <v>236</v>
      </c>
      <c r="F114">
        <f t="shared" si="2"/>
        <v>34204</v>
      </c>
      <c r="G114">
        <v>37069</v>
      </c>
      <c r="H114" s="1">
        <f t="shared" si="3"/>
        <v>0.92271169980307</v>
      </c>
    </row>
    <row r="115" spans="1:8" x14ac:dyDescent="0.15">
      <c r="A115" t="s">
        <v>114</v>
      </c>
      <c r="B115">
        <v>2492</v>
      </c>
      <c r="C115">
        <v>35</v>
      </c>
      <c r="D115">
        <v>9</v>
      </c>
      <c r="E115">
        <v>286</v>
      </c>
      <c r="F115">
        <f t="shared" si="2"/>
        <v>34555</v>
      </c>
      <c r="G115">
        <v>37377</v>
      </c>
      <c r="H115" s="1">
        <f t="shared" si="3"/>
        <v>0.92449902346362733</v>
      </c>
    </row>
    <row r="116" spans="1:8" x14ac:dyDescent="0.15">
      <c r="A116" t="s">
        <v>115</v>
      </c>
      <c r="B116">
        <v>2429</v>
      </c>
      <c r="C116">
        <v>207</v>
      </c>
      <c r="D116">
        <v>11</v>
      </c>
      <c r="E116">
        <v>108</v>
      </c>
      <c r="F116">
        <f t="shared" si="2"/>
        <v>35457</v>
      </c>
      <c r="G116">
        <v>38212</v>
      </c>
      <c r="H116" s="1">
        <f t="shared" si="3"/>
        <v>0.9279022296660735</v>
      </c>
    </row>
    <row r="117" spans="1:8" x14ac:dyDescent="0.15">
      <c r="A117" t="s">
        <v>116</v>
      </c>
      <c r="B117">
        <v>2501</v>
      </c>
      <c r="C117">
        <v>490</v>
      </c>
      <c r="D117">
        <v>11</v>
      </c>
      <c r="E117">
        <v>124</v>
      </c>
      <c r="F117">
        <f t="shared" si="2"/>
        <v>35061</v>
      </c>
      <c r="G117">
        <v>38187</v>
      </c>
      <c r="H117" s="1">
        <f t="shared" si="3"/>
        <v>0.91813968104328703</v>
      </c>
    </row>
    <row r="118" spans="1:8" x14ac:dyDescent="0.15">
      <c r="A118" t="s">
        <v>117</v>
      </c>
      <c r="B118">
        <v>2573</v>
      </c>
      <c r="C118">
        <v>747</v>
      </c>
      <c r="D118">
        <v>8</v>
      </c>
      <c r="E118">
        <v>462</v>
      </c>
      <c r="F118">
        <f t="shared" si="2"/>
        <v>34737</v>
      </c>
      <c r="G118">
        <v>38527</v>
      </c>
      <c r="H118" s="1">
        <f t="shared" si="3"/>
        <v>0.90162743011394608</v>
      </c>
    </row>
    <row r="119" spans="1:8" x14ac:dyDescent="0.15">
      <c r="A119" t="s">
        <v>118</v>
      </c>
      <c r="B119">
        <v>2655</v>
      </c>
      <c r="C119">
        <v>944</v>
      </c>
      <c r="D119">
        <v>7</v>
      </c>
      <c r="E119">
        <v>418</v>
      </c>
      <c r="F119">
        <f t="shared" si="2"/>
        <v>34443</v>
      </c>
      <c r="G119">
        <v>38467</v>
      </c>
      <c r="H119" s="1">
        <f t="shared" si="3"/>
        <v>0.89539085449866118</v>
      </c>
    </row>
    <row r="120" spans="1:8" x14ac:dyDescent="0.15">
      <c r="A120" t="s">
        <v>119</v>
      </c>
      <c r="B120">
        <v>2690</v>
      </c>
      <c r="C120">
        <v>1159</v>
      </c>
      <c r="D120">
        <v>11</v>
      </c>
      <c r="E120">
        <v>134</v>
      </c>
      <c r="F120">
        <f t="shared" si="2"/>
        <v>33813</v>
      </c>
      <c r="G120">
        <v>37807</v>
      </c>
      <c r="H120" s="1">
        <f t="shared" si="3"/>
        <v>0.89435818763721009</v>
      </c>
    </row>
    <row r="121" spans="1:8" x14ac:dyDescent="0.15">
      <c r="A121" t="s">
        <v>120</v>
      </c>
      <c r="B121">
        <v>2910</v>
      </c>
      <c r="C121">
        <v>1180</v>
      </c>
      <c r="D121">
        <v>11</v>
      </c>
      <c r="E121">
        <v>40</v>
      </c>
      <c r="F121">
        <f t="shared" si="2"/>
        <v>33850</v>
      </c>
      <c r="G121">
        <v>37991</v>
      </c>
      <c r="H121" s="1">
        <f t="shared" si="3"/>
        <v>0.89100050011844911</v>
      </c>
    </row>
    <row r="122" spans="1:8" x14ac:dyDescent="0.15">
      <c r="A122" t="s">
        <v>121</v>
      </c>
      <c r="B122">
        <v>3071</v>
      </c>
      <c r="C122">
        <v>1182</v>
      </c>
      <c r="D122">
        <v>11</v>
      </c>
      <c r="E122">
        <v>0</v>
      </c>
      <c r="F122">
        <f t="shared" si="2"/>
        <v>34270</v>
      </c>
      <c r="G122">
        <v>38534</v>
      </c>
      <c r="H122" s="1">
        <f t="shared" si="3"/>
        <v>0.88934447500908287</v>
      </c>
    </row>
    <row r="123" spans="1:8" x14ac:dyDescent="0.15">
      <c r="A123" t="s">
        <v>122</v>
      </c>
      <c r="B123">
        <v>2941</v>
      </c>
      <c r="C123">
        <v>1091</v>
      </c>
      <c r="D123">
        <v>10</v>
      </c>
      <c r="E123">
        <v>36</v>
      </c>
      <c r="F123">
        <f t="shared" si="2"/>
        <v>34526</v>
      </c>
      <c r="G123">
        <v>38604</v>
      </c>
      <c r="H123" s="1">
        <f t="shared" si="3"/>
        <v>0.89436327841674435</v>
      </c>
    </row>
    <row r="124" spans="1:8" x14ac:dyDescent="0.15">
      <c r="A124" t="s">
        <v>123</v>
      </c>
      <c r="B124">
        <v>2698</v>
      </c>
      <c r="C124">
        <v>1035</v>
      </c>
      <c r="D124">
        <v>10</v>
      </c>
      <c r="E124">
        <v>102</v>
      </c>
      <c r="F124">
        <f t="shared" si="2"/>
        <v>34624</v>
      </c>
      <c r="G124">
        <v>38469</v>
      </c>
      <c r="H124" s="1">
        <f t="shared" si="3"/>
        <v>0.90004939041825882</v>
      </c>
    </row>
    <row r="125" spans="1:8" x14ac:dyDescent="0.15">
      <c r="A125" t="s">
        <v>124</v>
      </c>
      <c r="B125">
        <v>2600</v>
      </c>
      <c r="C125">
        <v>967</v>
      </c>
      <c r="D125">
        <v>10</v>
      </c>
      <c r="E125">
        <v>118</v>
      </c>
      <c r="F125">
        <f t="shared" si="2"/>
        <v>34772</v>
      </c>
      <c r="G125">
        <v>38467</v>
      </c>
      <c r="H125" s="1">
        <f t="shared" si="3"/>
        <v>0.90394364000311955</v>
      </c>
    </row>
    <row r="126" spans="1:8" x14ac:dyDescent="0.15">
      <c r="A126" t="s">
        <v>125</v>
      </c>
      <c r="B126">
        <v>2549</v>
      </c>
      <c r="C126">
        <v>657</v>
      </c>
      <c r="D126">
        <v>11</v>
      </c>
      <c r="E126">
        <v>0</v>
      </c>
      <c r="F126">
        <f t="shared" si="2"/>
        <v>35110</v>
      </c>
      <c r="G126">
        <v>38327</v>
      </c>
      <c r="H126" s="1">
        <f t="shared" si="3"/>
        <v>0.91606439324758004</v>
      </c>
    </row>
    <row r="127" spans="1:8" x14ac:dyDescent="0.15">
      <c r="A127" t="s">
        <v>126</v>
      </c>
      <c r="B127">
        <v>2402</v>
      </c>
      <c r="C127">
        <v>282</v>
      </c>
      <c r="D127">
        <v>11</v>
      </c>
      <c r="E127">
        <v>0</v>
      </c>
      <c r="F127">
        <f t="shared" si="2"/>
        <v>35230</v>
      </c>
      <c r="G127">
        <v>37925</v>
      </c>
      <c r="H127" s="1">
        <f t="shared" si="3"/>
        <v>0.92893869479235336</v>
      </c>
    </row>
    <row r="128" spans="1:8" x14ac:dyDescent="0.15">
      <c r="A128" t="s">
        <v>127</v>
      </c>
      <c r="B128">
        <v>2494</v>
      </c>
      <c r="C128">
        <v>72</v>
      </c>
      <c r="D128">
        <v>14</v>
      </c>
      <c r="E128">
        <v>250</v>
      </c>
      <c r="F128">
        <f t="shared" si="2"/>
        <v>35229</v>
      </c>
      <c r="G128">
        <v>38059</v>
      </c>
      <c r="H128" s="1">
        <f t="shared" si="3"/>
        <v>0.9256417667306025</v>
      </c>
    </row>
    <row r="129" spans="1:8" x14ac:dyDescent="0.15">
      <c r="A129" t="s">
        <v>128</v>
      </c>
      <c r="B129">
        <v>2434</v>
      </c>
      <c r="C129">
        <v>2</v>
      </c>
      <c r="D129">
        <v>5</v>
      </c>
      <c r="E129">
        <v>1212</v>
      </c>
      <c r="F129">
        <f t="shared" si="2"/>
        <v>34880</v>
      </c>
      <c r="G129">
        <v>38533</v>
      </c>
      <c r="H129" s="1">
        <f t="shared" si="3"/>
        <v>0.90519814185243819</v>
      </c>
    </row>
    <row r="130" spans="1:8" x14ac:dyDescent="0.15">
      <c r="A130" t="s">
        <v>129</v>
      </c>
      <c r="B130">
        <v>2488</v>
      </c>
      <c r="C130">
        <v>0</v>
      </c>
      <c r="D130">
        <v>6</v>
      </c>
      <c r="E130">
        <v>1406</v>
      </c>
      <c r="F130">
        <f t="shared" si="2"/>
        <v>36684</v>
      </c>
      <c r="G130">
        <v>40584</v>
      </c>
      <c r="H130" s="1">
        <f t="shared" si="3"/>
        <v>0.90390301596688349</v>
      </c>
    </row>
    <row r="131" spans="1:8" x14ac:dyDescent="0.15">
      <c r="A131" t="s">
        <v>130</v>
      </c>
      <c r="B131">
        <v>2517</v>
      </c>
      <c r="C131">
        <v>0</v>
      </c>
      <c r="D131">
        <v>0</v>
      </c>
      <c r="E131">
        <v>2068</v>
      </c>
      <c r="F131">
        <f t="shared" ref="F131:F194" si="4">G131-B131-C131-D131-E131</f>
        <v>37161</v>
      </c>
      <c r="G131">
        <v>41746</v>
      </c>
      <c r="H131" s="1">
        <f t="shared" ref="H131:H194" si="5">F131/G131</f>
        <v>0.8901691179993293</v>
      </c>
    </row>
    <row r="132" spans="1:8" x14ac:dyDescent="0.15">
      <c r="A132" t="s">
        <v>131</v>
      </c>
      <c r="B132">
        <v>2534</v>
      </c>
      <c r="C132">
        <v>0</v>
      </c>
      <c r="D132">
        <v>0</v>
      </c>
      <c r="E132">
        <v>1836</v>
      </c>
      <c r="F132">
        <f t="shared" si="4"/>
        <v>37441</v>
      </c>
      <c r="G132">
        <v>41811</v>
      </c>
      <c r="H132" s="1">
        <f t="shared" si="5"/>
        <v>0.89548205017818272</v>
      </c>
    </row>
    <row r="133" spans="1:8" x14ac:dyDescent="0.15">
      <c r="A133" t="s">
        <v>132</v>
      </c>
      <c r="B133">
        <v>2390</v>
      </c>
      <c r="C133">
        <v>0</v>
      </c>
      <c r="D133">
        <v>0</v>
      </c>
      <c r="E133">
        <v>1978</v>
      </c>
      <c r="F133">
        <f t="shared" si="4"/>
        <v>37555</v>
      </c>
      <c r="G133">
        <v>41923</v>
      </c>
      <c r="H133" s="1">
        <f t="shared" si="5"/>
        <v>0.89580898313574886</v>
      </c>
    </row>
    <row r="134" spans="1:8" x14ac:dyDescent="0.15">
      <c r="A134" t="s">
        <v>133</v>
      </c>
      <c r="B134">
        <v>2327</v>
      </c>
      <c r="C134">
        <v>0</v>
      </c>
      <c r="D134">
        <v>0</v>
      </c>
      <c r="E134">
        <v>1884</v>
      </c>
      <c r="F134">
        <f t="shared" si="4"/>
        <v>37418</v>
      </c>
      <c r="G134">
        <v>41629</v>
      </c>
      <c r="H134" s="1">
        <f t="shared" si="5"/>
        <v>0.89884455547815223</v>
      </c>
    </row>
    <row r="135" spans="1:8" x14ac:dyDescent="0.15">
      <c r="A135" t="s">
        <v>134</v>
      </c>
      <c r="B135">
        <v>2423</v>
      </c>
      <c r="C135">
        <v>0</v>
      </c>
      <c r="D135">
        <v>0</v>
      </c>
      <c r="E135">
        <v>1960</v>
      </c>
      <c r="F135">
        <f t="shared" si="4"/>
        <v>37014</v>
      </c>
      <c r="G135">
        <v>41397</v>
      </c>
      <c r="H135" s="1">
        <f t="shared" si="5"/>
        <v>0.89412276251902312</v>
      </c>
    </row>
    <row r="136" spans="1:8" x14ac:dyDescent="0.15">
      <c r="A136" t="s">
        <v>135</v>
      </c>
      <c r="B136">
        <v>2400</v>
      </c>
      <c r="C136">
        <v>0</v>
      </c>
      <c r="D136">
        <v>3</v>
      </c>
      <c r="E136">
        <v>1102</v>
      </c>
      <c r="F136">
        <f t="shared" si="4"/>
        <v>36672</v>
      </c>
      <c r="G136">
        <v>40177</v>
      </c>
      <c r="H136" s="1">
        <f t="shared" si="5"/>
        <v>0.91276103243149065</v>
      </c>
    </row>
    <row r="137" spans="1:8" x14ac:dyDescent="0.15">
      <c r="A137" t="s">
        <v>136</v>
      </c>
      <c r="B137">
        <v>2421</v>
      </c>
      <c r="C137">
        <v>0</v>
      </c>
      <c r="D137">
        <v>10</v>
      </c>
      <c r="E137">
        <v>728</v>
      </c>
      <c r="F137">
        <f t="shared" si="4"/>
        <v>36134</v>
      </c>
      <c r="G137">
        <v>39293</v>
      </c>
      <c r="H137" s="1">
        <f t="shared" si="5"/>
        <v>0.91960400071259507</v>
      </c>
    </row>
    <row r="138" spans="1:8" x14ac:dyDescent="0.15">
      <c r="A138" t="s">
        <v>137</v>
      </c>
      <c r="B138">
        <v>2376</v>
      </c>
      <c r="C138">
        <v>0</v>
      </c>
      <c r="D138">
        <v>16</v>
      </c>
      <c r="E138">
        <v>468</v>
      </c>
      <c r="F138">
        <f t="shared" si="4"/>
        <v>35170</v>
      </c>
      <c r="G138">
        <v>38030</v>
      </c>
      <c r="H138" s="1">
        <f t="shared" si="5"/>
        <v>0.92479621351564556</v>
      </c>
    </row>
    <row r="139" spans="1:8" x14ac:dyDescent="0.15">
      <c r="A139" t="s">
        <v>138</v>
      </c>
      <c r="B139">
        <v>2442</v>
      </c>
      <c r="C139">
        <v>0</v>
      </c>
      <c r="D139">
        <v>15</v>
      </c>
      <c r="E139">
        <v>340</v>
      </c>
      <c r="F139">
        <f t="shared" si="4"/>
        <v>34123</v>
      </c>
      <c r="G139">
        <v>36920</v>
      </c>
      <c r="H139" s="1">
        <f t="shared" si="5"/>
        <v>0.92424160346695561</v>
      </c>
    </row>
    <row r="140" spans="1:8" x14ac:dyDescent="0.15">
      <c r="A140" t="s">
        <v>139</v>
      </c>
      <c r="B140">
        <v>2383</v>
      </c>
      <c r="C140">
        <v>0</v>
      </c>
      <c r="D140">
        <v>13</v>
      </c>
      <c r="E140">
        <v>38</v>
      </c>
      <c r="F140">
        <f t="shared" si="4"/>
        <v>33147</v>
      </c>
      <c r="G140">
        <v>35581</v>
      </c>
      <c r="H140" s="1">
        <f t="shared" si="5"/>
        <v>0.93159270397122063</v>
      </c>
    </row>
    <row r="141" spans="1:8" x14ac:dyDescent="0.15">
      <c r="A141" t="s">
        <v>140</v>
      </c>
      <c r="B141">
        <v>2321</v>
      </c>
      <c r="C141">
        <v>0</v>
      </c>
      <c r="D141">
        <v>13</v>
      </c>
      <c r="E141">
        <v>0</v>
      </c>
      <c r="F141">
        <f t="shared" si="4"/>
        <v>31342</v>
      </c>
      <c r="G141">
        <v>33676</v>
      </c>
      <c r="H141" s="1">
        <f t="shared" si="5"/>
        <v>0.93069248129231497</v>
      </c>
    </row>
    <row r="142" spans="1:8" x14ac:dyDescent="0.15">
      <c r="A142" t="s">
        <v>141</v>
      </c>
      <c r="B142">
        <v>2227</v>
      </c>
      <c r="C142">
        <v>0</v>
      </c>
      <c r="D142">
        <v>11</v>
      </c>
      <c r="E142">
        <v>6</v>
      </c>
      <c r="F142">
        <f t="shared" si="4"/>
        <v>29584</v>
      </c>
      <c r="G142">
        <v>31828</v>
      </c>
      <c r="H142" s="1">
        <f t="shared" si="5"/>
        <v>0.92949604122156593</v>
      </c>
    </row>
    <row r="143" spans="1:8" x14ac:dyDescent="0.15">
      <c r="A143" t="s">
        <v>142</v>
      </c>
      <c r="B143">
        <v>2174</v>
      </c>
      <c r="C143">
        <v>0</v>
      </c>
      <c r="D143">
        <v>11</v>
      </c>
      <c r="E143">
        <v>0</v>
      </c>
      <c r="F143">
        <f t="shared" si="4"/>
        <v>27884</v>
      </c>
      <c r="G143">
        <v>30069</v>
      </c>
      <c r="H143" s="1">
        <f t="shared" si="5"/>
        <v>0.9273337989291297</v>
      </c>
    </row>
    <row r="144" spans="1:8" x14ac:dyDescent="0.15">
      <c r="A144" t="s">
        <v>143</v>
      </c>
      <c r="B144">
        <v>1976</v>
      </c>
      <c r="C144">
        <v>0</v>
      </c>
      <c r="D144">
        <v>18</v>
      </c>
      <c r="E144">
        <v>16</v>
      </c>
      <c r="F144">
        <f t="shared" si="4"/>
        <v>26123</v>
      </c>
      <c r="G144">
        <v>28133</v>
      </c>
      <c r="H144" s="1">
        <f t="shared" si="5"/>
        <v>0.92855365584900296</v>
      </c>
    </row>
    <row r="145" spans="1:8" x14ac:dyDescent="0.15">
      <c r="A145" t="s">
        <v>144</v>
      </c>
      <c r="B145">
        <v>1913</v>
      </c>
      <c r="C145">
        <v>0</v>
      </c>
      <c r="D145">
        <v>230</v>
      </c>
      <c r="E145">
        <v>0</v>
      </c>
      <c r="F145">
        <f t="shared" si="4"/>
        <v>24763</v>
      </c>
      <c r="G145">
        <v>26906</v>
      </c>
      <c r="H145" s="1">
        <f t="shared" si="5"/>
        <v>0.92035233776852743</v>
      </c>
    </row>
    <row r="146" spans="1:8" x14ac:dyDescent="0.15">
      <c r="A146" t="s">
        <v>145</v>
      </c>
      <c r="B146">
        <v>1977</v>
      </c>
      <c r="C146">
        <v>0</v>
      </c>
      <c r="D146">
        <v>1016</v>
      </c>
      <c r="E146">
        <v>0</v>
      </c>
      <c r="F146">
        <f t="shared" si="4"/>
        <v>23494</v>
      </c>
      <c r="G146">
        <v>26487</v>
      </c>
      <c r="H146" s="1">
        <f t="shared" si="5"/>
        <v>0.8870011703854721</v>
      </c>
    </row>
    <row r="147" spans="1:8" x14ac:dyDescent="0.15">
      <c r="A147" t="s">
        <v>146</v>
      </c>
      <c r="B147">
        <v>1824</v>
      </c>
      <c r="C147">
        <v>0</v>
      </c>
      <c r="D147">
        <v>1188</v>
      </c>
      <c r="E147">
        <v>0</v>
      </c>
      <c r="F147">
        <f t="shared" si="4"/>
        <v>23880</v>
      </c>
      <c r="G147">
        <v>26892</v>
      </c>
      <c r="H147" s="1">
        <f t="shared" si="5"/>
        <v>0.88799643016510488</v>
      </c>
    </row>
    <row r="148" spans="1:8" x14ac:dyDescent="0.15">
      <c r="A148" t="s">
        <v>147</v>
      </c>
      <c r="B148">
        <v>1856</v>
      </c>
      <c r="C148">
        <v>0</v>
      </c>
      <c r="D148">
        <v>1561</v>
      </c>
      <c r="E148">
        <v>0</v>
      </c>
      <c r="F148">
        <f t="shared" si="4"/>
        <v>23085</v>
      </c>
      <c r="G148">
        <v>26502</v>
      </c>
      <c r="H148" s="1">
        <f t="shared" si="5"/>
        <v>0.87106633461625538</v>
      </c>
    </row>
    <row r="149" spans="1:8" x14ac:dyDescent="0.15">
      <c r="A149" t="s">
        <v>148</v>
      </c>
      <c r="B149">
        <v>1737</v>
      </c>
      <c r="C149">
        <v>0</v>
      </c>
      <c r="D149">
        <v>1578</v>
      </c>
      <c r="E149">
        <v>0</v>
      </c>
      <c r="F149">
        <f t="shared" si="4"/>
        <v>22455</v>
      </c>
      <c r="G149">
        <v>25770</v>
      </c>
      <c r="H149" s="1">
        <f t="shared" si="5"/>
        <v>0.87136204889406288</v>
      </c>
    </row>
    <row r="150" spans="1:8" x14ac:dyDescent="0.15">
      <c r="A150" t="s">
        <v>149</v>
      </c>
      <c r="B150">
        <v>1672</v>
      </c>
      <c r="C150">
        <v>0</v>
      </c>
      <c r="D150">
        <v>1587</v>
      </c>
      <c r="E150">
        <v>0</v>
      </c>
      <c r="F150">
        <f t="shared" si="4"/>
        <v>21860</v>
      </c>
      <c r="G150">
        <v>25119</v>
      </c>
      <c r="H150" s="1">
        <f t="shared" si="5"/>
        <v>0.87025757394800751</v>
      </c>
    </row>
    <row r="151" spans="1:8" x14ac:dyDescent="0.15">
      <c r="A151" t="s">
        <v>150</v>
      </c>
      <c r="B151">
        <v>1541</v>
      </c>
      <c r="C151">
        <v>0</v>
      </c>
      <c r="D151">
        <v>1584</v>
      </c>
      <c r="E151">
        <v>0</v>
      </c>
      <c r="F151">
        <f t="shared" si="4"/>
        <v>21619</v>
      </c>
      <c r="G151">
        <v>24744</v>
      </c>
      <c r="H151" s="1">
        <f t="shared" si="5"/>
        <v>0.87370675719366309</v>
      </c>
    </row>
    <row r="152" spans="1:8" x14ac:dyDescent="0.15">
      <c r="A152" t="s">
        <v>151</v>
      </c>
      <c r="B152">
        <v>1218</v>
      </c>
      <c r="C152">
        <v>0</v>
      </c>
      <c r="D152">
        <v>1563</v>
      </c>
      <c r="E152">
        <v>0</v>
      </c>
      <c r="F152">
        <f t="shared" si="4"/>
        <v>21503</v>
      </c>
      <c r="G152">
        <v>24284</v>
      </c>
      <c r="H152" s="1">
        <f t="shared" si="5"/>
        <v>0.88548015154010873</v>
      </c>
    </row>
    <row r="153" spans="1:8" x14ac:dyDescent="0.15">
      <c r="A153" t="s">
        <v>152</v>
      </c>
      <c r="B153">
        <v>1049</v>
      </c>
      <c r="C153">
        <v>0</v>
      </c>
      <c r="D153">
        <v>1557</v>
      </c>
      <c r="E153">
        <v>0</v>
      </c>
      <c r="F153">
        <f t="shared" si="4"/>
        <v>21404</v>
      </c>
      <c r="G153">
        <v>24010</v>
      </c>
      <c r="H153" s="1">
        <f t="shared" si="5"/>
        <v>0.89146189087880046</v>
      </c>
    </row>
    <row r="154" spans="1:8" x14ac:dyDescent="0.15">
      <c r="A154" t="s">
        <v>153</v>
      </c>
      <c r="B154">
        <v>957</v>
      </c>
      <c r="C154">
        <v>0</v>
      </c>
      <c r="D154">
        <v>1305</v>
      </c>
      <c r="E154">
        <v>0</v>
      </c>
      <c r="F154">
        <f t="shared" si="4"/>
        <v>21519</v>
      </c>
      <c r="G154">
        <v>23781</v>
      </c>
      <c r="H154" s="1">
        <f t="shared" si="5"/>
        <v>0.90488204869433586</v>
      </c>
    </row>
    <row r="155" spans="1:8" x14ac:dyDescent="0.15">
      <c r="A155" t="s">
        <v>154</v>
      </c>
      <c r="B155">
        <v>903</v>
      </c>
      <c r="C155">
        <v>0</v>
      </c>
      <c r="D155">
        <v>1276</v>
      </c>
      <c r="E155">
        <v>0</v>
      </c>
      <c r="F155">
        <f t="shared" si="4"/>
        <v>21703</v>
      </c>
      <c r="G155">
        <v>23882</v>
      </c>
      <c r="H155" s="1">
        <f t="shared" si="5"/>
        <v>0.90875973536554733</v>
      </c>
    </row>
    <row r="156" spans="1:8" x14ac:dyDescent="0.15">
      <c r="A156" t="s">
        <v>155</v>
      </c>
      <c r="B156">
        <v>873</v>
      </c>
      <c r="C156">
        <v>0</v>
      </c>
      <c r="D156">
        <v>485</v>
      </c>
      <c r="E156">
        <v>0</v>
      </c>
      <c r="F156">
        <f t="shared" si="4"/>
        <v>23211</v>
      </c>
      <c r="G156">
        <v>24569</v>
      </c>
      <c r="H156" s="1">
        <f t="shared" si="5"/>
        <v>0.94472709511986652</v>
      </c>
    </row>
    <row r="157" spans="1:8" x14ac:dyDescent="0.15">
      <c r="A157" t="s">
        <v>156</v>
      </c>
      <c r="B157">
        <v>838</v>
      </c>
      <c r="C157">
        <v>0</v>
      </c>
      <c r="D157">
        <v>83</v>
      </c>
      <c r="E157">
        <v>0</v>
      </c>
      <c r="F157">
        <f t="shared" si="4"/>
        <v>24863</v>
      </c>
      <c r="G157">
        <v>25784</v>
      </c>
      <c r="H157" s="1">
        <f t="shared" si="5"/>
        <v>0.96428017375116348</v>
      </c>
    </row>
    <row r="158" spans="1:8" x14ac:dyDescent="0.15">
      <c r="A158" t="s">
        <v>157</v>
      </c>
      <c r="B158">
        <v>801</v>
      </c>
      <c r="C158">
        <v>0</v>
      </c>
      <c r="D158">
        <v>17</v>
      </c>
      <c r="E158">
        <v>0</v>
      </c>
      <c r="F158">
        <f t="shared" si="4"/>
        <v>27721</v>
      </c>
      <c r="G158">
        <v>28539</v>
      </c>
      <c r="H158" s="1">
        <f t="shared" si="5"/>
        <v>0.97133746802620979</v>
      </c>
    </row>
    <row r="159" spans="1:8" x14ac:dyDescent="0.15">
      <c r="A159" t="s">
        <v>158</v>
      </c>
      <c r="B159">
        <v>734</v>
      </c>
      <c r="C159">
        <v>0</v>
      </c>
      <c r="D159">
        <v>14</v>
      </c>
      <c r="E159">
        <v>116</v>
      </c>
      <c r="F159">
        <f t="shared" si="4"/>
        <v>30057</v>
      </c>
      <c r="G159">
        <v>30921</v>
      </c>
      <c r="H159" s="1">
        <f t="shared" si="5"/>
        <v>0.97205782477927627</v>
      </c>
    </row>
    <row r="160" spans="1:8" x14ac:dyDescent="0.15">
      <c r="A160" t="s">
        <v>159</v>
      </c>
      <c r="B160">
        <v>715</v>
      </c>
      <c r="C160">
        <v>0</v>
      </c>
      <c r="D160">
        <v>14</v>
      </c>
      <c r="E160">
        <v>66</v>
      </c>
      <c r="F160">
        <f t="shared" si="4"/>
        <v>33312</v>
      </c>
      <c r="G160">
        <v>34107</v>
      </c>
      <c r="H160" s="1">
        <f t="shared" si="5"/>
        <v>0.9766910018471282</v>
      </c>
    </row>
    <row r="161" spans="1:8" x14ac:dyDescent="0.15">
      <c r="A161" t="s">
        <v>160</v>
      </c>
      <c r="B161">
        <v>677</v>
      </c>
      <c r="C161">
        <v>0</v>
      </c>
      <c r="D161">
        <v>12</v>
      </c>
      <c r="E161">
        <v>808</v>
      </c>
      <c r="F161">
        <f t="shared" si="4"/>
        <v>34239</v>
      </c>
      <c r="G161">
        <v>35736</v>
      </c>
      <c r="H161" s="1">
        <f t="shared" si="5"/>
        <v>0.95810946944257891</v>
      </c>
    </row>
    <row r="162" spans="1:8" x14ac:dyDescent="0.15">
      <c r="A162" t="s">
        <v>161</v>
      </c>
      <c r="B162">
        <v>662</v>
      </c>
      <c r="C162">
        <v>1</v>
      </c>
      <c r="D162">
        <v>12</v>
      </c>
      <c r="E162">
        <v>456</v>
      </c>
      <c r="F162">
        <f t="shared" si="4"/>
        <v>36355</v>
      </c>
      <c r="G162">
        <v>37486</v>
      </c>
      <c r="H162" s="1">
        <f t="shared" si="5"/>
        <v>0.96982873606146291</v>
      </c>
    </row>
    <row r="163" spans="1:8" x14ac:dyDescent="0.15">
      <c r="A163" t="s">
        <v>162</v>
      </c>
      <c r="B163">
        <v>631</v>
      </c>
      <c r="C163">
        <v>81</v>
      </c>
      <c r="D163">
        <v>12</v>
      </c>
      <c r="E163">
        <v>108</v>
      </c>
      <c r="F163">
        <f t="shared" si="4"/>
        <v>37283</v>
      </c>
      <c r="G163">
        <v>38115</v>
      </c>
      <c r="H163" s="1">
        <f t="shared" si="5"/>
        <v>0.97817132362586912</v>
      </c>
    </row>
    <row r="164" spans="1:8" x14ac:dyDescent="0.15">
      <c r="A164" t="s">
        <v>163</v>
      </c>
      <c r="B164">
        <v>699</v>
      </c>
      <c r="C164">
        <v>360</v>
      </c>
      <c r="D164">
        <v>12</v>
      </c>
      <c r="E164">
        <v>110</v>
      </c>
      <c r="F164">
        <f t="shared" si="4"/>
        <v>37035</v>
      </c>
      <c r="G164">
        <v>38216</v>
      </c>
      <c r="H164" s="1">
        <f t="shared" si="5"/>
        <v>0.96909671341846348</v>
      </c>
    </row>
    <row r="165" spans="1:8" x14ac:dyDescent="0.15">
      <c r="A165" t="s">
        <v>164</v>
      </c>
      <c r="B165">
        <v>746</v>
      </c>
      <c r="C165">
        <v>701</v>
      </c>
      <c r="D165">
        <v>9</v>
      </c>
      <c r="E165">
        <v>330</v>
      </c>
      <c r="F165">
        <f t="shared" si="4"/>
        <v>36802</v>
      </c>
      <c r="G165">
        <v>38588</v>
      </c>
      <c r="H165" s="1">
        <f t="shared" si="5"/>
        <v>0.95371618119622681</v>
      </c>
    </row>
    <row r="166" spans="1:8" x14ac:dyDescent="0.15">
      <c r="A166" t="s">
        <v>165</v>
      </c>
      <c r="B166">
        <v>716</v>
      </c>
      <c r="C166">
        <v>1020</v>
      </c>
      <c r="D166">
        <v>12</v>
      </c>
      <c r="E166">
        <v>272</v>
      </c>
      <c r="F166">
        <f t="shared" si="4"/>
        <v>36862</v>
      </c>
      <c r="G166">
        <v>38882</v>
      </c>
      <c r="H166" s="1">
        <f t="shared" si="5"/>
        <v>0.94804793992078595</v>
      </c>
    </row>
    <row r="167" spans="1:8" x14ac:dyDescent="0.15">
      <c r="A167" t="s">
        <v>166</v>
      </c>
      <c r="B167">
        <v>609</v>
      </c>
      <c r="C167">
        <v>1312</v>
      </c>
      <c r="D167">
        <v>12</v>
      </c>
      <c r="E167">
        <v>332</v>
      </c>
      <c r="F167">
        <f t="shared" si="4"/>
        <v>36365</v>
      </c>
      <c r="G167">
        <v>38630</v>
      </c>
      <c r="H167" s="1">
        <f t="shared" si="5"/>
        <v>0.94136681335749417</v>
      </c>
    </row>
    <row r="168" spans="1:8" x14ac:dyDescent="0.15">
      <c r="A168" t="s">
        <v>167</v>
      </c>
      <c r="B168">
        <v>623</v>
      </c>
      <c r="C168">
        <v>1497</v>
      </c>
      <c r="D168">
        <v>12</v>
      </c>
      <c r="E168">
        <v>142</v>
      </c>
      <c r="F168">
        <f t="shared" si="4"/>
        <v>36099</v>
      </c>
      <c r="G168">
        <v>38373</v>
      </c>
      <c r="H168" s="1">
        <f t="shared" si="5"/>
        <v>0.94073958251895862</v>
      </c>
    </row>
    <row r="169" spans="1:8" x14ac:dyDescent="0.15">
      <c r="A169" t="s">
        <v>168</v>
      </c>
      <c r="B169">
        <v>676</v>
      </c>
      <c r="C169">
        <v>1522</v>
      </c>
      <c r="D169">
        <v>10</v>
      </c>
      <c r="E169">
        <v>44</v>
      </c>
      <c r="F169">
        <f t="shared" si="4"/>
        <v>35949</v>
      </c>
      <c r="G169">
        <v>38201</v>
      </c>
      <c r="H169" s="1">
        <f t="shared" si="5"/>
        <v>0.94104866364754847</v>
      </c>
    </row>
    <row r="170" spans="1:8" x14ac:dyDescent="0.15">
      <c r="A170" t="s">
        <v>169</v>
      </c>
      <c r="B170">
        <v>712</v>
      </c>
      <c r="C170">
        <v>1514</v>
      </c>
      <c r="D170">
        <v>11</v>
      </c>
      <c r="E170">
        <v>86</v>
      </c>
      <c r="F170">
        <f t="shared" si="4"/>
        <v>36446</v>
      </c>
      <c r="G170">
        <v>38769</v>
      </c>
      <c r="H170" s="1">
        <f t="shared" si="5"/>
        <v>0.94008099254559052</v>
      </c>
    </row>
    <row r="171" spans="1:8" x14ac:dyDescent="0.15">
      <c r="A171" t="s">
        <v>170</v>
      </c>
      <c r="B171">
        <v>769</v>
      </c>
      <c r="C171">
        <v>1458</v>
      </c>
      <c r="D171">
        <v>10</v>
      </c>
      <c r="E171">
        <v>106</v>
      </c>
      <c r="F171">
        <f t="shared" si="4"/>
        <v>36251</v>
      </c>
      <c r="G171">
        <v>38594</v>
      </c>
      <c r="H171" s="1">
        <f t="shared" si="5"/>
        <v>0.93929108151526142</v>
      </c>
    </row>
    <row r="172" spans="1:8" x14ac:dyDescent="0.15">
      <c r="A172" t="s">
        <v>171</v>
      </c>
      <c r="B172">
        <v>785</v>
      </c>
      <c r="C172">
        <v>1331</v>
      </c>
      <c r="D172">
        <v>7</v>
      </c>
      <c r="E172">
        <v>342</v>
      </c>
      <c r="F172">
        <f t="shared" si="4"/>
        <v>35914</v>
      </c>
      <c r="G172">
        <v>38379</v>
      </c>
      <c r="H172" s="1">
        <f t="shared" si="5"/>
        <v>0.93577216707053334</v>
      </c>
    </row>
    <row r="173" spans="1:8" x14ac:dyDescent="0.15">
      <c r="A173" t="s">
        <v>172</v>
      </c>
      <c r="B173">
        <v>742</v>
      </c>
      <c r="C173">
        <v>1035</v>
      </c>
      <c r="D173">
        <v>7</v>
      </c>
      <c r="E173">
        <v>436</v>
      </c>
      <c r="F173">
        <f t="shared" si="4"/>
        <v>35918</v>
      </c>
      <c r="G173">
        <v>38138</v>
      </c>
      <c r="H173" s="1">
        <f t="shared" si="5"/>
        <v>0.94179034034296505</v>
      </c>
    </row>
    <row r="174" spans="1:8" x14ac:dyDescent="0.15">
      <c r="A174" t="s">
        <v>173</v>
      </c>
      <c r="B174">
        <v>641</v>
      </c>
      <c r="C174">
        <v>657</v>
      </c>
      <c r="D174">
        <v>7</v>
      </c>
      <c r="E174">
        <v>436</v>
      </c>
      <c r="F174">
        <f t="shared" si="4"/>
        <v>36531</v>
      </c>
      <c r="G174">
        <v>38272</v>
      </c>
      <c r="H174" s="1">
        <f t="shared" si="5"/>
        <v>0.95450982441471577</v>
      </c>
    </row>
    <row r="175" spans="1:8" x14ac:dyDescent="0.15">
      <c r="A175" t="s">
        <v>174</v>
      </c>
      <c r="B175">
        <v>748</v>
      </c>
      <c r="C175">
        <v>312</v>
      </c>
      <c r="D175">
        <v>11</v>
      </c>
      <c r="E175">
        <v>306</v>
      </c>
      <c r="F175">
        <f t="shared" si="4"/>
        <v>36846</v>
      </c>
      <c r="G175">
        <v>38223</v>
      </c>
      <c r="H175" s="1">
        <f t="shared" si="5"/>
        <v>0.96397457028490696</v>
      </c>
    </row>
    <row r="176" spans="1:8" x14ac:dyDescent="0.15">
      <c r="A176" t="s">
        <v>175</v>
      </c>
      <c r="B176">
        <v>810</v>
      </c>
      <c r="C176">
        <v>88</v>
      </c>
      <c r="D176">
        <v>12</v>
      </c>
      <c r="E176">
        <v>382</v>
      </c>
      <c r="F176">
        <f t="shared" si="4"/>
        <v>37043</v>
      </c>
      <c r="G176">
        <v>38335</v>
      </c>
      <c r="H176" s="1">
        <f t="shared" si="5"/>
        <v>0.96629711751662972</v>
      </c>
    </row>
    <row r="177" spans="1:8" x14ac:dyDescent="0.15">
      <c r="A177" t="s">
        <v>176</v>
      </c>
      <c r="B177">
        <v>959</v>
      </c>
      <c r="C177">
        <v>4</v>
      </c>
      <c r="D177">
        <v>11</v>
      </c>
      <c r="E177">
        <v>1108</v>
      </c>
      <c r="F177">
        <f t="shared" si="4"/>
        <v>37067</v>
      </c>
      <c r="G177">
        <v>39149</v>
      </c>
      <c r="H177" s="1">
        <f t="shared" si="5"/>
        <v>0.94681856496973105</v>
      </c>
    </row>
    <row r="178" spans="1:8" x14ac:dyDescent="0.15">
      <c r="A178" t="s">
        <v>177</v>
      </c>
      <c r="B178">
        <v>1140</v>
      </c>
      <c r="C178">
        <v>0</v>
      </c>
      <c r="D178">
        <v>3</v>
      </c>
      <c r="E178">
        <v>1424</v>
      </c>
      <c r="F178">
        <f t="shared" si="4"/>
        <v>38290</v>
      </c>
      <c r="G178">
        <v>40857</v>
      </c>
      <c r="H178" s="1">
        <f t="shared" si="5"/>
        <v>0.93717110898989153</v>
      </c>
    </row>
    <row r="179" spans="1:8" x14ac:dyDescent="0.15">
      <c r="A179" t="s">
        <v>178</v>
      </c>
      <c r="B179">
        <v>1312</v>
      </c>
      <c r="C179">
        <v>0</v>
      </c>
      <c r="D179">
        <v>1</v>
      </c>
      <c r="E179">
        <v>1864</v>
      </c>
      <c r="F179">
        <f t="shared" si="4"/>
        <v>38494</v>
      </c>
      <c r="G179">
        <v>41671</v>
      </c>
      <c r="H179" s="1">
        <f t="shared" si="5"/>
        <v>0.92375992896738734</v>
      </c>
    </row>
    <row r="180" spans="1:8" x14ac:dyDescent="0.15">
      <c r="A180" t="s">
        <v>179</v>
      </c>
      <c r="B180">
        <v>1500</v>
      </c>
      <c r="C180">
        <v>0</v>
      </c>
      <c r="D180">
        <v>1</v>
      </c>
      <c r="E180">
        <v>2004</v>
      </c>
      <c r="F180">
        <f t="shared" si="4"/>
        <v>38476</v>
      </c>
      <c r="G180">
        <v>41981</v>
      </c>
      <c r="H180" s="1">
        <f t="shared" si="5"/>
        <v>0.91650984969390914</v>
      </c>
    </row>
    <row r="181" spans="1:8" x14ac:dyDescent="0.15">
      <c r="A181" t="s">
        <v>180</v>
      </c>
      <c r="B181">
        <v>1747</v>
      </c>
      <c r="C181">
        <v>0</v>
      </c>
      <c r="D181">
        <v>1</v>
      </c>
      <c r="E181">
        <v>2004</v>
      </c>
      <c r="F181">
        <f t="shared" si="4"/>
        <v>38044</v>
      </c>
      <c r="G181">
        <v>41796</v>
      </c>
      <c r="H181" s="1">
        <f t="shared" si="5"/>
        <v>0.91023064408077325</v>
      </c>
    </row>
    <row r="182" spans="1:8" x14ac:dyDescent="0.15">
      <c r="A182" t="s">
        <v>181</v>
      </c>
      <c r="B182">
        <v>1965</v>
      </c>
      <c r="C182">
        <v>0</v>
      </c>
      <c r="D182">
        <v>0</v>
      </c>
      <c r="E182">
        <v>2154</v>
      </c>
      <c r="F182">
        <f t="shared" si="4"/>
        <v>37495</v>
      </c>
      <c r="G182">
        <v>41614</v>
      </c>
      <c r="H182" s="1">
        <f t="shared" si="5"/>
        <v>0.90101888787427309</v>
      </c>
    </row>
    <row r="183" spans="1:8" x14ac:dyDescent="0.15">
      <c r="A183" t="s">
        <v>182</v>
      </c>
      <c r="B183">
        <v>1991</v>
      </c>
      <c r="C183">
        <v>0</v>
      </c>
      <c r="D183">
        <v>1</v>
      </c>
      <c r="E183">
        <v>1996</v>
      </c>
      <c r="F183">
        <f t="shared" si="4"/>
        <v>36864</v>
      </c>
      <c r="G183">
        <v>40852</v>
      </c>
      <c r="H183" s="1">
        <f t="shared" si="5"/>
        <v>0.90237932047390579</v>
      </c>
    </row>
    <row r="184" spans="1:8" x14ac:dyDescent="0.15">
      <c r="A184" t="s">
        <v>183</v>
      </c>
      <c r="B184">
        <v>1965</v>
      </c>
      <c r="C184">
        <v>0</v>
      </c>
      <c r="D184">
        <v>12</v>
      </c>
      <c r="E184">
        <v>1078</v>
      </c>
      <c r="F184">
        <f t="shared" si="4"/>
        <v>36535</v>
      </c>
      <c r="G184">
        <v>39590</v>
      </c>
      <c r="H184" s="1">
        <f t="shared" si="5"/>
        <v>0.92283404900227328</v>
      </c>
    </row>
    <row r="185" spans="1:8" x14ac:dyDescent="0.15">
      <c r="A185" t="s">
        <v>184</v>
      </c>
      <c r="B185">
        <v>2029</v>
      </c>
      <c r="C185">
        <v>0</v>
      </c>
      <c r="D185">
        <v>13</v>
      </c>
      <c r="E185">
        <v>450</v>
      </c>
      <c r="F185">
        <f t="shared" si="4"/>
        <v>35768</v>
      </c>
      <c r="G185">
        <v>38260</v>
      </c>
      <c r="H185" s="1">
        <f t="shared" si="5"/>
        <v>0.93486670151594353</v>
      </c>
    </row>
    <row r="186" spans="1:8" x14ac:dyDescent="0.15">
      <c r="A186" t="s">
        <v>185</v>
      </c>
      <c r="B186">
        <v>2052</v>
      </c>
      <c r="C186">
        <v>0</v>
      </c>
      <c r="D186">
        <v>12</v>
      </c>
      <c r="E186">
        <v>292</v>
      </c>
      <c r="F186">
        <f t="shared" si="4"/>
        <v>34651</v>
      </c>
      <c r="G186">
        <v>37007</v>
      </c>
      <c r="H186" s="1">
        <f t="shared" si="5"/>
        <v>0.93633636879509285</v>
      </c>
    </row>
    <row r="187" spans="1:8" x14ac:dyDescent="0.15">
      <c r="A187" t="s">
        <v>186</v>
      </c>
      <c r="B187">
        <v>2050</v>
      </c>
      <c r="C187">
        <v>0</v>
      </c>
      <c r="D187">
        <v>11</v>
      </c>
      <c r="E187">
        <v>128</v>
      </c>
      <c r="F187">
        <f t="shared" si="4"/>
        <v>33555</v>
      </c>
      <c r="G187">
        <v>35744</v>
      </c>
      <c r="H187" s="1">
        <f t="shared" si="5"/>
        <v>0.93875895255147712</v>
      </c>
    </row>
    <row r="188" spans="1:8" x14ac:dyDescent="0.15">
      <c r="A188" t="s">
        <v>187</v>
      </c>
      <c r="B188">
        <v>1948</v>
      </c>
      <c r="C188">
        <v>0</v>
      </c>
      <c r="D188">
        <v>10</v>
      </c>
      <c r="E188">
        <v>142</v>
      </c>
      <c r="F188">
        <f t="shared" si="4"/>
        <v>32158</v>
      </c>
      <c r="G188">
        <v>34258</v>
      </c>
      <c r="H188" s="1">
        <f t="shared" si="5"/>
        <v>0.93870044953003673</v>
      </c>
    </row>
    <row r="189" spans="1:8" x14ac:dyDescent="0.15">
      <c r="A189" t="s">
        <v>188</v>
      </c>
      <c r="B189">
        <v>1835</v>
      </c>
      <c r="C189">
        <v>0</v>
      </c>
      <c r="D189">
        <v>8</v>
      </c>
      <c r="E189">
        <v>0</v>
      </c>
      <c r="F189">
        <f t="shared" si="4"/>
        <v>31135</v>
      </c>
      <c r="G189">
        <v>32978</v>
      </c>
      <c r="H189" s="1">
        <f t="shared" si="5"/>
        <v>0.94411425799017523</v>
      </c>
    </row>
    <row r="190" spans="1:8" x14ac:dyDescent="0.15">
      <c r="A190" t="s">
        <v>189</v>
      </c>
      <c r="B190">
        <v>1842</v>
      </c>
      <c r="C190">
        <v>0</v>
      </c>
      <c r="D190">
        <v>7</v>
      </c>
      <c r="E190">
        <v>50</v>
      </c>
      <c r="F190">
        <f t="shared" si="4"/>
        <v>29257</v>
      </c>
      <c r="G190">
        <v>31156</v>
      </c>
      <c r="H190" s="1">
        <f t="shared" si="5"/>
        <v>0.93904865836436002</v>
      </c>
    </row>
    <row r="191" spans="1:8" x14ac:dyDescent="0.15">
      <c r="A191" t="s">
        <v>190</v>
      </c>
      <c r="B191">
        <v>1860</v>
      </c>
      <c r="C191">
        <v>0</v>
      </c>
      <c r="D191">
        <v>7</v>
      </c>
      <c r="E191">
        <v>32</v>
      </c>
      <c r="F191">
        <f t="shared" si="4"/>
        <v>27604</v>
      </c>
      <c r="G191">
        <v>29503</v>
      </c>
      <c r="H191" s="1">
        <f t="shared" si="5"/>
        <v>0.93563366437311457</v>
      </c>
    </row>
    <row r="192" spans="1:8" x14ac:dyDescent="0.15">
      <c r="A192" t="s">
        <v>191</v>
      </c>
      <c r="B192">
        <v>1900</v>
      </c>
      <c r="C192">
        <v>0</v>
      </c>
      <c r="D192">
        <v>6</v>
      </c>
      <c r="E192">
        <v>18</v>
      </c>
      <c r="F192">
        <f t="shared" si="4"/>
        <v>26008</v>
      </c>
      <c r="G192">
        <v>27932</v>
      </c>
      <c r="H192" s="1">
        <f t="shared" si="5"/>
        <v>0.93111843047400833</v>
      </c>
    </row>
    <row r="193" spans="1:8" x14ac:dyDescent="0.15">
      <c r="A193" t="s">
        <v>192</v>
      </c>
      <c r="B193">
        <v>1843</v>
      </c>
      <c r="C193">
        <v>0</v>
      </c>
      <c r="D193">
        <v>7</v>
      </c>
      <c r="E193">
        <v>8</v>
      </c>
      <c r="F193">
        <f t="shared" si="4"/>
        <v>24984</v>
      </c>
      <c r="G193">
        <v>26842</v>
      </c>
      <c r="H193" s="1">
        <f t="shared" si="5"/>
        <v>0.93078012070635574</v>
      </c>
    </row>
    <row r="194" spans="1:8" x14ac:dyDescent="0.15">
      <c r="A194" t="s">
        <v>193</v>
      </c>
      <c r="B194">
        <v>1748</v>
      </c>
      <c r="C194">
        <v>0</v>
      </c>
      <c r="D194">
        <v>11</v>
      </c>
      <c r="E194">
        <v>0</v>
      </c>
      <c r="F194">
        <f t="shared" si="4"/>
        <v>24578</v>
      </c>
      <c r="G194">
        <v>26337</v>
      </c>
      <c r="H194" s="1">
        <f t="shared" si="5"/>
        <v>0.9332118312640012</v>
      </c>
    </row>
    <row r="195" spans="1:8" x14ac:dyDescent="0.15">
      <c r="A195" t="s">
        <v>194</v>
      </c>
      <c r="B195">
        <v>1783</v>
      </c>
      <c r="C195">
        <v>0</v>
      </c>
      <c r="D195">
        <v>19</v>
      </c>
      <c r="E195">
        <v>64</v>
      </c>
      <c r="F195">
        <f t="shared" ref="F195:F241" si="6">G195-B195-C195-D195-E195</f>
        <v>24910</v>
      </c>
      <c r="G195">
        <v>26776</v>
      </c>
      <c r="H195" s="1">
        <f t="shared" ref="H195:H241" si="7">F195/G195</f>
        <v>0.93031072602330445</v>
      </c>
    </row>
    <row r="196" spans="1:8" x14ac:dyDescent="0.15">
      <c r="A196" t="s">
        <v>195</v>
      </c>
      <c r="B196">
        <v>1852</v>
      </c>
      <c r="C196">
        <v>0</v>
      </c>
      <c r="D196">
        <v>820</v>
      </c>
      <c r="E196">
        <v>0</v>
      </c>
      <c r="F196">
        <f t="shared" si="6"/>
        <v>23544</v>
      </c>
      <c r="G196">
        <v>26216</v>
      </c>
      <c r="H196" s="1">
        <f t="shared" si="7"/>
        <v>0.8980775099176076</v>
      </c>
    </row>
    <row r="197" spans="1:8" x14ac:dyDescent="0.15">
      <c r="A197" t="s">
        <v>196</v>
      </c>
      <c r="B197">
        <v>1887</v>
      </c>
      <c r="C197">
        <v>0</v>
      </c>
      <c r="D197">
        <v>1229</v>
      </c>
      <c r="E197">
        <v>0</v>
      </c>
      <c r="F197">
        <f t="shared" si="6"/>
        <v>22393</v>
      </c>
      <c r="G197">
        <v>25509</v>
      </c>
      <c r="H197" s="1">
        <f t="shared" si="7"/>
        <v>0.87784703438002276</v>
      </c>
    </row>
    <row r="198" spans="1:8" x14ac:dyDescent="0.15">
      <c r="A198" t="s">
        <v>197</v>
      </c>
      <c r="B198">
        <v>1942</v>
      </c>
      <c r="C198">
        <v>0</v>
      </c>
      <c r="D198">
        <v>1365</v>
      </c>
      <c r="E198">
        <v>0</v>
      </c>
      <c r="F198">
        <f t="shared" si="6"/>
        <v>21458</v>
      </c>
      <c r="G198">
        <v>24765</v>
      </c>
      <c r="H198" s="1">
        <f t="shared" si="7"/>
        <v>0.86646476882697354</v>
      </c>
    </row>
    <row r="199" spans="1:8" x14ac:dyDescent="0.15">
      <c r="A199" t="s">
        <v>198</v>
      </c>
      <c r="B199">
        <v>1843</v>
      </c>
      <c r="C199">
        <v>0</v>
      </c>
      <c r="D199">
        <v>1493</v>
      </c>
      <c r="E199">
        <v>0</v>
      </c>
      <c r="F199">
        <f t="shared" si="6"/>
        <v>20940</v>
      </c>
      <c r="G199">
        <v>24276</v>
      </c>
      <c r="H199" s="1">
        <f t="shared" si="7"/>
        <v>0.86258032624814629</v>
      </c>
    </row>
    <row r="200" spans="1:8" x14ac:dyDescent="0.15">
      <c r="A200" t="s">
        <v>199</v>
      </c>
      <c r="B200">
        <v>1662</v>
      </c>
      <c r="C200">
        <v>0</v>
      </c>
      <c r="D200">
        <v>1548</v>
      </c>
      <c r="E200">
        <v>0</v>
      </c>
      <c r="F200">
        <f t="shared" si="6"/>
        <v>20694</v>
      </c>
      <c r="G200">
        <v>23904</v>
      </c>
      <c r="H200" s="1">
        <f t="shared" si="7"/>
        <v>0.86571285140562249</v>
      </c>
    </row>
    <row r="201" spans="1:8" x14ac:dyDescent="0.15">
      <c r="A201" t="s">
        <v>200</v>
      </c>
      <c r="B201">
        <v>1616</v>
      </c>
      <c r="C201">
        <v>0</v>
      </c>
      <c r="D201">
        <v>1536</v>
      </c>
      <c r="E201">
        <v>0</v>
      </c>
      <c r="F201">
        <f t="shared" si="6"/>
        <v>20371</v>
      </c>
      <c r="G201">
        <v>23523</v>
      </c>
      <c r="H201" s="1">
        <f t="shared" si="7"/>
        <v>0.86600348594992138</v>
      </c>
    </row>
    <row r="202" spans="1:8" x14ac:dyDescent="0.15">
      <c r="A202" t="s">
        <v>201</v>
      </c>
      <c r="B202">
        <v>1545</v>
      </c>
      <c r="C202">
        <v>0</v>
      </c>
      <c r="D202">
        <v>1478</v>
      </c>
      <c r="E202">
        <v>0</v>
      </c>
      <c r="F202">
        <f t="shared" si="6"/>
        <v>20190</v>
      </c>
      <c r="G202">
        <v>23213</v>
      </c>
      <c r="H202" s="1">
        <f t="shared" si="7"/>
        <v>0.86977124886916812</v>
      </c>
    </row>
    <row r="203" spans="1:8" x14ac:dyDescent="0.15">
      <c r="A203" t="s">
        <v>202</v>
      </c>
      <c r="B203">
        <v>1546</v>
      </c>
      <c r="C203">
        <v>0</v>
      </c>
      <c r="D203">
        <v>1518</v>
      </c>
      <c r="E203">
        <v>0</v>
      </c>
      <c r="F203">
        <f t="shared" si="6"/>
        <v>20062</v>
      </c>
      <c r="G203">
        <v>23126</v>
      </c>
      <c r="H203" s="1">
        <f t="shared" si="7"/>
        <v>0.86750843206780248</v>
      </c>
    </row>
    <row r="204" spans="1:8" x14ac:dyDescent="0.15">
      <c r="A204" t="s">
        <v>203</v>
      </c>
      <c r="B204">
        <v>1478</v>
      </c>
      <c r="C204">
        <v>0</v>
      </c>
      <c r="D204">
        <v>1409</v>
      </c>
      <c r="E204">
        <v>0</v>
      </c>
      <c r="F204">
        <f t="shared" si="6"/>
        <v>20427</v>
      </c>
      <c r="G204">
        <v>23314</v>
      </c>
      <c r="H204" s="1">
        <f t="shared" si="7"/>
        <v>0.87616882559835296</v>
      </c>
    </row>
    <row r="205" spans="1:8" x14ac:dyDescent="0.15">
      <c r="A205" t="s">
        <v>204</v>
      </c>
      <c r="B205">
        <v>1416</v>
      </c>
      <c r="C205">
        <v>0</v>
      </c>
      <c r="D205">
        <v>1336</v>
      </c>
      <c r="E205">
        <v>0</v>
      </c>
      <c r="F205">
        <f t="shared" si="6"/>
        <v>21126</v>
      </c>
      <c r="G205">
        <v>23878</v>
      </c>
      <c r="H205" s="1">
        <f t="shared" si="7"/>
        <v>0.88474746628695866</v>
      </c>
    </row>
    <row r="206" spans="1:8" x14ac:dyDescent="0.15">
      <c r="A206" t="s">
        <v>205</v>
      </c>
      <c r="B206">
        <v>1481</v>
      </c>
      <c r="C206">
        <v>0</v>
      </c>
      <c r="D206">
        <v>358</v>
      </c>
      <c r="E206">
        <v>0</v>
      </c>
      <c r="F206">
        <f t="shared" si="6"/>
        <v>23374</v>
      </c>
      <c r="G206">
        <v>25213</v>
      </c>
      <c r="H206" s="1">
        <f t="shared" si="7"/>
        <v>0.92706143656050455</v>
      </c>
    </row>
    <row r="207" spans="1:8" x14ac:dyDescent="0.15">
      <c r="A207" t="s">
        <v>206</v>
      </c>
      <c r="B207">
        <v>1584</v>
      </c>
      <c r="C207">
        <v>0</v>
      </c>
      <c r="D207">
        <v>8</v>
      </c>
      <c r="E207">
        <v>0</v>
      </c>
      <c r="F207">
        <f t="shared" si="6"/>
        <v>24691</v>
      </c>
      <c r="G207">
        <v>26283</v>
      </c>
      <c r="H207" s="1">
        <f t="shared" si="7"/>
        <v>0.93942852794582055</v>
      </c>
    </row>
    <row r="208" spans="1:8" x14ac:dyDescent="0.15">
      <c r="A208" t="s">
        <v>207</v>
      </c>
      <c r="B208">
        <v>1682</v>
      </c>
      <c r="C208">
        <v>0</v>
      </c>
      <c r="D208">
        <v>8</v>
      </c>
      <c r="E208">
        <v>0</v>
      </c>
      <c r="F208">
        <f t="shared" si="6"/>
        <v>26241</v>
      </c>
      <c r="G208">
        <v>27931</v>
      </c>
      <c r="H208" s="1">
        <f t="shared" si="7"/>
        <v>0.93949375246142275</v>
      </c>
    </row>
    <row r="209" spans="1:8" x14ac:dyDescent="0.15">
      <c r="A209" t="s">
        <v>208</v>
      </c>
      <c r="B209">
        <v>1704</v>
      </c>
      <c r="C209">
        <v>0</v>
      </c>
      <c r="D209">
        <v>8</v>
      </c>
      <c r="E209">
        <v>14</v>
      </c>
      <c r="F209">
        <f t="shared" si="6"/>
        <v>27484</v>
      </c>
      <c r="G209">
        <v>29210</v>
      </c>
      <c r="H209" s="1">
        <f t="shared" si="7"/>
        <v>0.94091064703868543</v>
      </c>
    </row>
    <row r="210" spans="1:8" x14ac:dyDescent="0.15">
      <c r="A210" t="s">
        <v>209</v>
      </c>
      <c r="B210">
        <v>1764</v>
      </c>
      <c r="C210">
        <v>0</v>
      </c>
      <c r="D210">
        <v>8</v>
      </c>
      <c r="E210">
        <v>0</v>
      </c>
      <c r="F210">
        <f t="shared" si="6"/>
        <v>29273</v>
      </c>
      <c r="G210">
        <v>31045</v>
      </c>
      <c r="H210" s="1">
        <f t="shared" si="7"/>
        <v>0.94292156546947981</v>
      </c>
    </row>
    <row r="211" spans="1:8" x14ac:dyDescent="0.15">
      <c r="A211" t="s">
        <v>210</v>
      </c>
      <c r="B211">
        <v>1736</v>
      </c>
      <c r="C211">
        <v>34</v>
      </c>
      <c r="D211">
        <v>7</v>
      </c>
      <c r="E211">
        <v>46</v>
      </c>
      <c r="F211">
        <f t="shared" si="6"/>
        <v>30521</v>
      </c>
      <c r="G211">
        <v>32344</v>
      </c>
      <c r="H211" s="1">
        <f t="shared" si="7"/>
        <v>0.94363715063071973</v>
      </c>
    </row>
    <row r="212" spans="1:8" x14ac:dyDescent="0.15">
      <c r="A212" t="s">
        <v>211</v>
      </c>
      <c r="B212">
        <v>1613</v>
      </c>
      <c r="C212">
        <v>204</v>
      </c>
      <c r="D212">
        <v>9</v>
      </c>
      <c r="E212">
        <v>164</v>
      </c>
      <c r="F212">
        <f t="shared" si="6"/>
        <v>31633</v>
      </c>
      <c r="G212">
        <v>33623</v>
      </c>
      <c r="H212" s="1">
        <f t="shared" si="7"/>
        <v>0.940814323528537</v>
      </c>
    </row>
    <row r="213" spans="1:8" x14ac:dyDescent="0.15">
      <c r="A213" t="s">
        <v>212</v>
      </c>
      <c r="B213">
        <v>1518</v>
      </c>
      <c r="C213">
        <v>455</v>
      </c>
      <c r="D213">
        <v>7</v>
      </c>
      <c r="E213">
        <v>284</v>
      </c>
      <c r="F213">
        <f t="shared" si="6"/>
        <v>32018</v>
      </c>
      <c r="G213">
        <v>34282</v>
      </c>
      <c r="H213" s="1">
        <f t="shared" si="7"/>
        <v>0.93395951228049701</v>
      </c>
    </row>
    <row r="214" spans="1:8" x14ac:dyDescent="0.15">
      <c r="A214" t="s">
        <v>213</v>
      </c>
      <c r="B214">
        <v>1543</v>
      </c>
      <c r="C214">
        <v>712</v>
      </c>
      <c r="D214">
        <v>10</v>
      </c>
      <c r="E214">
        <v>232</v>
      </c>
      <c r="F214">
        <f t="shared" si="6"/>
        <v>32124</v>
      </c>
      <c r="G214">
        <v>34621</v>
      </c>
      <c r="H214" s="1">
        <f t="shared" si="7"/>
        <v>0.92787614453655298</v>
      </c>
    </row>
    <row r="215" spans="1:8" x14ac:dyDescent="0.15">
      <c r="A215" t="s">
        <v>214</v>
      </c>
      <c r="B215">
        <v>1506</v>
      </c>
      <c r="C215">
        <v>927</v>
      </c>
      <c r="D215">
        <v>11</v>
      </c>
      <c r="E215">
        <v>102</v>
      </c>
      <c r="F215">
        <f t="shared" si="6"/>
        <v>32229</v>
      </c>
      <c r="G215">
        <v>34775</v>
      </c>
      <c r="H215" s="1">
        <f t="shared" si="7"/>
        <v>0.92678648454349388</v>
      </c>
    </row>
    <row r="216" spans="1:8" x14ac:dyDescent="0.15">
      <c r="A216" t="s">
        <v>215</v>
      </c>
      <c r="B216">
        <v>1389</v>
      </c>
      <c r="C216">
        <v>1076</v>
      </c>
      <c r="D216">
        <v>5</v>
      </c>
      <c r="E216">
        <v>248</v>
      </c>
      <c r="F216">
        <f t="shared" si="6"/>
        <v>32802</v>
      </c>
      <c r="G216">
        <v>35520</v>
      </c>
      <c r="H216" s="1">
        <f t="shared" si="7"/>
        <v>0.92347972972972969</v>
      </c>
    </row>
    <row r="217" spans="1:8" x14ac:dyDescent="0.15">
      <c r="A217" t="s">
        <v>216</v>
      </c>
      <c r="B217">
        <v>1284</v>
      </c>
      <c r="C217">
        <v>1166</v>
      </c>
      <c r="D217">
        <v>12</v>
      </c>
      <c r="E217">
        <v>0</v>
      </c>
      <c r="F217">
        <f t="shared" si="6"/>
        <v>33292</v>
      </c>
      <c r="G217">
        <v>35754</v>
      </c>
      <c r="H217" s="1">
        <f t="shared" si="7"/>
        <v>0.9311405716842871</v>
      </c>
    </row>
    <row r="218" spans="1:8" x14ac:dyDescent="0.15">
      <c r="A218" t="s">
        <v>217</v>
      </c>
      <c r="B218">
        <v>1196</v>
      </c>
      <c r="C218">
        <v>1239</v>
      </c>
      <c r="D218">
        <v>12</v>
      </c>
      <c r="E218">
        <v>40</v>
      </c>
      <c r="F218">
        <f t="shared" si="6"/>
        <v>33177</v>
      </c>
      <c r="G218">
        <v>35664</v>
      </c>
      <c r="H218" s="1">
        <f t="shared" si="7"/>
        <v>0.93026581426648725</v>
      </c>
    </row>
    <row r="219" spans="1:8" x14ac:dyDescent="0.15">
      <c r="A219" t="s">
        <v>218</v>
      </c>
      <c r="B219">
        <v>1156</v>
      </c>
      <c r="C219">
        <v>1229</v>
      </c>
      <c r="D219">
        <v>12</v>
      </c>
      <c r="E219">
        <v>4</v>
      </c>
      <c r="F219">
        <f t="shared" si="6"/>
        <v>33068</v>
      </c>
      <c r="G219">
        <v>35469</v>
      </c>
      <c r="H219" s="1">
        <f t="shared" si="7"/>
        <v>0.93230708506019344</v>
      </c>
    </row>
    <row r="220" spans="1:8" x14ac:dyDescent="0.15">
      <c r="A220" t="s">
        <v>219</v>
      </c>
      <c r="B220">
        <v>1044</v>
      </c>
      <c r="C220">
        <v>1144</v>
      </c>
      <c r="D220">
        <v>11</v>
      </c>
      <c r="E220">
        <v>12</v>
      </c>
      <c r="F220">
        <f t="shared" si="6"/>
        <v>33328</v>
      </c>
      <c r="G220">
        <v>35539</v>
      </c>
      <c r="H220" s="1">
        <f t="shared" si="7"/>
        <v>0.93778665691212471</v>
      </c>
    </row>
    <row r="221" spans="1:8" x14ac:dyDescent="0.15">
      <c r="A221" t="s">
        <v>220</v>
      </c>
      <c r="B221">
        <v>917</v>
      </c>
      <c r="C221">
        <v>1008</v>
      </c>
      <c r="D221">
        <v>12</v>
      </c>
      <c r="E221">
        <v>0</v>
      </c>
      <c r="F221">
        <f t="shared" si="6"/>
        <v>33417</v>
      </c>
      <c r="G221">
        <v>35354</v>
      </c>
      <c r="H221" s="1">
        <f t="shared" si="7"/>
        <v>0.94521129150874017</v>
      </c>
    </row>
    <row r="222" spans="1:8" x14ac:dyDescent="0.15">
      <c r="A222" t="s">
        <v>221</v>
      </c>
      <c r="B222">
        <v>951</v>
      </c>
      <c r="C222">
        <v>780</v>
      </c>
      <c r="D222">
        <v>8</v>
      </c>
      <c r="E222">
        <v>162</v>
      </c>
      <c r="F222">
        <f t="shared" si="6"/>
        <v>33469</v>
      </c>
      <c r="G222">
        <v>35370</v>
      </c>
      <c r="H222" s="1">
        <f t="shared" si="7"/>
        <v>0.94625388747526151</v>
      </c>
    </row>
    <row r="223" spans="1:8" x14ac:dyDescent="0.15">
      <c r="A223" t="s">
        <v>222</v>
      </c>
      <c r="B223">
        <v>964</v>
      </c>
      <c r="C223">
        <v>460</v>
      </c>
      <c r="D223">
        <v>11</v>
      </c>
      <c r="E223">
        <v>152</v>
      </c>
      <c r="F223">
        <f t="shared" si="6"/>
        <v>33854</v>
      </c>
      <c r="G223">
        <v>35441</v>
      </c>
      <c r="H223" s="1">
        <f t="shared" si="7"/>
        <v>0.95522135379927198</v>
      </c>
    </row>
    <row r="224" spans="1:8" x14ac:dyDescent="0.15">
      <c r="A224" t="s">
        <v>223</v>
      </c>
      <c r="B224">
        <v>972</v>
      </c>
      <c r="C224">
        <v>149</v>
      </c>
      <c r="D224">
        <v>13</v>
      </c>
      <c r="E224">
        <v>56</v>
      </c>
      <c r="F224">
        <f t="shared" si="6"/>
        <v>34813</v>
      </c>
      <c r="G224">
        <v>36003</v>
      </c>
      <c r="H224" s="1">
        <f t="shared" si="7"/>
        <v>0.96694719884454072</v>
      </c>
    </row>
    <row r="225" spans="1:8" x14ac:dyDescent="0.15">
      <c r="A225" t="s">
        <v>224</v>
      </c>
      <c r="B225">
        <v>998</v>
      </c>
      <c r="C225">
        <v>9</v>
      </c>
      <c r="D225">
        <v>19</v>
      </c>
      <c r="E225">
        <v>158</v>
      </c>
      <c r="F225">
        <f t="shared" si="6"/>
        <v>35416</v>
      </c>
      <c r="G225">
        <v>36600</v>
      </c>
      <c r="H225" s="1">
        <f t="shared" si="7"/>
        <v>0.96765027322404373</v>
      </c>
    </row>
    <row r="226" spans="1:8" x14ac:dyDescent="0.15">
      <c r="A226" t="s">
        <v>225</v>
      </c>
      <c r="B226">
        <v>1110</v>
      </c>
      <c r="C226">
        <v>0</v>
      </c>
      <c r="D226">
        <v>4</v>
      </c>
      <c r="E226">
        <v>1112</v>
      </c>
      <c r="F226">
        <f t="shared" si="6"/>
        <v>35439</v>
      </c>
      <c r="G226">
        <v>37665</v>
      </c>
      <c r="H226" s="1">
        <f t="shared" si="7"/>
        <v>0.940900039824771</v>
      </c>
    </row>
    <row r="227" spans="1:8" x14ac:dyDescent="0.15">
      <c r="A227" t="s">
        <v>226</v>
      </c>
      <c r="B227">
        <v>1136</v>
      </c>
      <c r="C227">
        <v>0</v>
      </c>
      <c r="D227">
        <v>1</v>
      </c>
      <c r="E227">
        <v>1534</v>
      </c>
      <c r="F227">
        <f t="shared" si="6"/>
        <v>36445</v>
      </c>
      <c r="G227">
        <v>39116</v>
      </c>
      <c r="H227" s="1">
        <f t="shared" si="7"/>
        <v>0.93171592187340224</v>
      </c>
    </row>
    <row r="228" spans="1:8" x14ac:dyDescent="0.15">
      <c r="A228" t="s">
        <v>227</v>
      </c>
      <c r="B228">
        <v>1167</v>
      </c>
      <c r="C228">
        <v>0</v>
      </c>
      <c r="D228">
        <v>1</v>
      </c>
      <c r="E228">
        <v>1762</v>
      </c>
      <c r="F228">
        <f t="shared" si="6"/>
        <v>37166</v>
      </c>
      <c r="G228">
        <v>40096</v>
      </c>
      <c r="H228" s="1">
        <f t="shared" si="7"/>
        <v>0.92692537909018358</v>
      </c>
    </row>
    <row r="229" spans="1:8" x14ac:dyDescent="0.15">
      <c r="A229" t="s">
        <v>228</v>
      </c>
      <c r="B229">
        <v>1114</v>
      </c>
      <c r="C229">
        <v>0</v>
      </c>
      <c r="D229">
        <v>1</v>
      </c>
      <c r="E229">
        <v>1838</v>
      </c>
      <c r="F229">
        <f t="shared" si="6"/>
        <v>37251</v>
      </c>
      <c r="G229">
        <v>40204</v>
      </c>
      <c r="H229" s="1">
        <f t="shared" si="7"/>
        <v>0.92654959705501938</v>
      </c>
    </row>
    <row r="230" spans="1:8" x14ac:dyDescent="0.15">
      <c r="A230" t="s">
        <v>229</v>
      </c>
      <c r="B230">
        <v>1094</v>
      </c>
      <c r="C230">
        <v>0</v>
      </c>
      <c r="D230">
        <v>5</v>
      </c>
      <c r="E230">
        <v>1174</v>
      </c>
      <c r="F230">
        <f t="shared" si="6"/>
        <v>37403</v>
      </c>
      <c r="G230">
        <v>39676</v>
      </c>
      <c r="H230" s="1">
        <f t="shared" si="7"/>
        <v>0.94271095876600464</v>
      </c>
    </row>
    <row r="231" spans="1:8" x14ac:dyDescent="0.15">
      <c r="A231" t="s">
        <v>230</v>
      </c>
      <c r="B231">
        <v>1102</v>
      </c>
      <c r="C231">
        <v>0</v>
      </c>
      <c r="D231">
        <v>6</v>
      </c>
      <c r="E231">
        <v>834</v>
      </c>
      <c r="F231">
        <f t="shared" si="6"/>
        <v>36590</v>
      </c>
      <c r="G231">
        <v>38532</v>
      </c>
      <c r="H231" s="1">
        <f t="shared" si="7"/>
        <v>0.94960033219142526</v>
      </c>
    </row>
    <row r="232" spans="1:8" x14ac:dyDescent="0.15">
      <c r="A232" t="s">
        <v>231</v>
      </c>
      <c r="B232">
        <v>1115</v>
      </c>
      <c r="C232">
        <v>0</v>
      </c>
      <c r="D232">
        <v>12</v>
      </c>
      <c r="E232">
        <v>268</v>
      </c>
      <c r="F232">
        <f t="shared" si="6"/>
        <v>35818</v>
      </c>
      <c r="G232">
        <v>37213</v>
      </c>
      <c r="H232" s="1">
        <f t="shared" si="7"/>
        <v>0.96251310026066161</v>
      </c>
    </row>
    <row r="233" spans="1:8" x14ac:dyDescent="0.15">
      <c r="A233" t="s">
        <v>232</v>
      </c>
      <c r="B233">
        <v>1081</v>
      </c>
      <c r="C233">
        <v>0</v>
      </c>
      <c r="D233">
        <v>13</v>
      </c>
      <c r="E233">
        <v>0</v>
      </c>
      <c r="F233">
        <f t="shared" si="6"/>
        <v>34879</v>
      </c>
      <c r="G233">
        <v>35973</v>
      </c>
      <c r="H233" s="1">
        <f t="shared" si="7"/>
        <v>0.96958830233786453</v>
      </c>
    </row>
    <row r="234" spans="1:8" x14ac:dyDescent="0.15">
      <c r="A234" t="s">
        <v>233</v>
      </c>
      <c r="B234">
        <v>1045</v>
      </c>
      <c r="C234">
        <v>0</v>
      </c>
      <c r="D234">
        <v>8</v>
      </c>
      <c r="E234">
        <v>268</v>
      </c>
      <c r="F234">
        <f t="shared" si="6"/>
        <v>34083</v>
      </c>
      <c r="G234">
        <v>35404</v>
      </c>
      <c r="H234" s="1">
        <f t="shared" si="7"/>
        <v>0.96268783188340301</v>
      </c>
    </row>
    <row r="235" spans="1:8" x14ac:dyDescent="0.15">
      <c r="A235" t="s">
        <v>234</v>
      </c>
      <c r="B235">
        <v>1014</v>
      </c>
      <c r="C235">
        <v>0</v>
      </c>
      <c r="D235">
        <v>12</v>
      </c>
      <c r="E235">
        <v>54</v>
      </c>
      <c r="F235">
        <f t="shared" si="6"/>
        <v>33029</v>
      </c>
      <c r="G235">
        <v>34109</v>
      </c>
      <c r="H235" s="1">
        <f t="shared" si="7"/>
        <v>0.96833680260341848</v>
      </c>
    </row>
    <row r="236" spans="1:8" x14ac:dyDescent="0.15">
      <c r="A236" t="s">
        <v>235</v>
      </c>
      <c r="B236">
        <v>908</v>
      </c>
      <c r="C236">
        <v>0</v>
      </c>
      <c r="D236">
        <v>8</v>
      </c>
      <c r="E236">
        <v>158</v>
      </c>
      <c r="F236">
        <f t="shared" si="6"/>
        <v>31847</v>
      </c>
      <c r="G236">
        <v>32921</v>
      </c>
      <c r="H236" s="1">
        <f t="shared" si="7"/>
        <v>0.96737644664499867</v>
      </c>
    </row>
    <row r="237" spans="1:8" x14ac:dyDescent="0.15">
      <c r="A237" t="s">
        <v>236</v>
      </c>
      <c r="B237">
        <v>871</v>
      </c>
      <c r="C237">
        <v>0</v>
      </c>
      <c r="D237">
        <v>8</v>
      </c>
      <c r="E237">
        <v>70</v>
      </c>
      <c r="F237">
        <f t="shared" si="6"/>
        <v>30953</v>
      </c>
      <c r="G237">
        <v>31902</v>
      </c>
      <c r="H237" s="1">
        <f t="shared" si="7"/>
        <v>0.97025264873675632</v>
      </c>
    </row>
    <row r="238" spans="1:8" x14ac:dyDescent="0.15">
      <c r="A238" t="s">
        <v>237</v>
      </c>
      <c r="B238">
        <v>897</v>
      </c>
      <c r="C238">
        <v>0</v>
      </c>
      <c r="D238">
        <v>8</v>
      </c>
      <c r="E238">
        <v>44</v>
      </c>
      <c r="F238">
        <f t="shared" si="6"/>
        <v>29552</v>
      </c>
      <c r="G238">
        <v>30501</v>
      </c>
      <c r="H238" s="1">
        <f t="shared" si="7"/>
        <v>0.9688862660240648</v>
      </c>
    </row>
    <row r="239" spans="1:8" x14ac:dyDescent="0.15">
      <c r="A239" t="s">
        <v>238</v>
      </c>
      <c r="B239">
        <v>803</v>
      </c>
      <c r="C239">
        <v>0</v>
      </c>
      <c r="D239">
        <v>7</v>
      </c>
      <c r="E239">
        <v>48</v>
      </c>
      <c r="F239">
        <f t="shared" si="6"/>
        <v>28377</v>
      </c>
      <c r="G239">
        <v>29235</v>
      </c>
      <c r="H239" s="1">
        <f t="shared" si="7"/>
        <v>0.97065161621344276</v>
      </c>
    </row>
    <row r="240" spans="1:8" x14ac:dyDescent="0.15">
      <c r="A240" t="s">
        <v>239</v>
      </c>
      <c r="B240">
        <v>760</v>
      </c>
      <c r="C240">
        <v>0</v>
      </c>
      <c r="D240">
        <v>7</v>
      </c>
      <c r="E240">
        <v>84</v>
      </c>
      <c r="F240">
        <f t="shared" si="6"/>
        <v>26790</v>
      </c>
      <c r="G240">
        <v>27641</v>
      </c>
      <c r="H240" s="1">
        <f t="shared" si="7"/>
        <v>0.96921240186679214</v>
      </c>
    </row>
    <row r="241" spans="1:8" x14ac:dyDescent="0.15">
      <c r="A241" t="s">
        <v>240</v>
      </c>
      <c r="B241">
        <v>770</v>
      </c>
      <c r="C241">
        <v>0</v>
      </c>
      <c r="D241">
        <v>8</v>
      </c>
      <c r="E241">
        <v>0</v>
      </c>
      <c r="F241">
        <f t="shared" si="6"/>
        <v>25751</v>
      </c>
      <c r="G241">
        <v>26529</v>
      </c>
      <c r="H241" s="1">
        <f t="shared" si="7"/>
        <v>0.97067360247276568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power_balancing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Dawei Qiu</cp:lastModifiedBy>
  <dcterms:created xsi:type="dcterms:W3CDTF">2025-07-25T17:17:52Z</dcterms:created>
  <dcterms:modified xsi:type="dcterms:W3CDTF">2025-07-30T14:46:47Z</dcterms:modified>
</cp:coreProperties>
</file>